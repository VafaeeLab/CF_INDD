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_Collaboration\Dr.Vafaee\Article_edited\Data and scripts_Github\Case_37Y\"/>
    </mc:Choice>
  </mc:AlternateContent>
  <xr:revisionPtr revIDLastSave="0" documentId="13_ncr:1_{00B8072E-EC11-4F21-9CF7-BDB90B0925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nalysis_set5" sheetId="1" r:id="rId1"/>
  </sheets>
  <calcPr calcId="181029"/>
</workbook>
</file>

<file path=xl/calcChain.xml><?xml version="1.0" encoding="utf-8"?>
<calcChain xmlns="http://schemas.openxmlformats.org/spreadsheetml/2006/main">
  <c r="J121" i="1" l="1"/>
  <c r="I121" i="1"/>
  <c r="H121" i="1"/>
  <c r="G121" i="1"/>
  <c r="F121" i="1"/>
  <c r="E121" i="1"/>
  <c r="D121" i="1"/>
  <c r="C121" i="1"/>
  <c r="B121" i="1"/>
  <c r="A121" i="1"/>
  <c r="J120" i="1"/>
  <c r="I120" i="1"/>
  <c r="H120" i="1"/>
  <c r="G120" i="1"/>
  <c r="F120" i="1"/>
  <c r="E120" i="1"/>
  <c r="D120" i="1"/>
  <c r="C120" i="1"/>
  <c r="B120" i="1"/>
  <c r="A120" i="1"/>
  <c r="J119" i="1"/>
  <c r="I119" i="1"/>
  <c r="H119" i="1"/>
  <c r="G119" i="1"/>
  <c r="F119" i="1"/>
  <c r="E119" i="1"/>
  <c r="D119" i="1"/>
  <c r="C119" i="1"/>
  <c r="B119" i="1"/>
  <c r="A119" i="1"/>
  <c r="J118" i="1"/>
  <c r="I118" i="1"/>
  <c r="H118" i="1"/>
  <c r="G118" i="1"/>
  <c r="F118" i="1"/>
  <c r="E118" i="1"/>
  <c r="D118" i="1"/>
  <c r="C118" i="1"/>
  <c r="B118" i="1"/>
  <c r="A118" i="1"/>
  <c r="J117" i="1"/>
  <c r="I117" i="1"/>
  <c r="H117" i="1"/>
  <c r="G117" i="1"/>
  <c r="F117" i="1"/>
  <c r="E117" i="1"/>
  <c r="D117" i="1"/>
  <c r="C117" i="1"/>
  <c r="B117" i="1"/>
  <c r="A117" i="1"/>
  <c r="J116" i="1"/>
  <c r="I116" i="1"/>
  <c r="H116" i="1"/>
  <c r="G116" i="1"/>
  <c r="F116" i="1"/>
  <c r="E116" i="1"/>
  <c r="D116" i="1"/>
  <c r="C116" i="1"/>
  <c r="B116" i="1"/>
  <c r="A116" i="1"/>
  <c r="J115" i="1"/>
  <c r="I115" i="1"/>
  <c r="H115" i="1"/>
  <c r="G115" i="1"/>
  <c r="F115" i="1"/>
  <c r="E115" i="1"/>
  <c r="D115" i="1"/>
  <c r="C115" i="1"/>
  <c r="B115" i="1"/>
  <c r="A115" i="1"/>
  <c r="J114" i="1"/>
  <c r="I114" i="1"/>
  <c r="H114" i="1"/>
  <c r="G114" i="1"/>
  <c r="F114" i="1"/>
  <c r="E114" i="1"/>
  <c r="D114" i="1"/>
  <c r="C114" i="1"/>
  <c r="B114" i="1"/>
  <c r="A114" i="1"/>
  <c r="J113" i="1"/>
  <c r="I113" i="1"/>
  <c r="H113" i="1"/>
  <c r="G113" i="1"/>
  <c r="F113" i="1"/>
  <c r="E113" i="1"/>
  <c r="D113" i="1"/>
  <c r="C113" i="1"/>
  <c r="B113" i="1"/>
  <c r="A113" i="1"/>
  <c r="J112" i="1"/>
  <c r="I112" i="1"/>
  <c r="H112" i="1"/>
  <c r="G112" i="1"/>
  <c r="F112" i="1"/>
  <c r="E112" i="1"/>
  <c r="D112" i="1"/>
  <c r="C112" i="1"/>
  <c r="B112" i="1"/>
  <c r="A112" i="1"/>
  <c r="J111" i="1"/>
  <c r="I111" i="1"/>
  <c r="H111" i="1"/>
  <c r="G111" i="1"/>
  <c r="F111" i="1"/>
  <c r="E111" i="1"/>
  <c r="D111" i="1"/>
  <c r="C111" i="1"/>
  <c r="B111" i="1"/>
  <c r="A111" i="1"/>
  <c r="J110" i="1"/>
  <c r="I110" i="1"/>
  <c r="H110" i="1"/>
  <c r="G110" i="1"/>
  <c r="F110" i="1"/>
  <c r="E110" i="1"/>
  <c r="D110" i="1"/>
  <c r="C110" i="1"/>
  <c r="B110" i="1"/>
  <c r="A110" i="1"/>
  <c r="J109" i="1"/>
  <c r="I109" i="1"/>
  <c r="H109" i="1"/>
  <c r="G109" i="1"/>
  <c r="F109" i="1"/>
  <c r="E109" i="1"/>
  <c r="D109" i="1"/>
  <c r="C109" i="1"/>
  <c r="B109" i="1"/>
  <c r="A109" i="1"/>
  <c r="J108" i="1"/>
  <c r="I108" i="1"/>
  <c r="H108" i="1"/>
  <c r="G108" i="1"/>
  <c r="F108" i="1"/>
  <c r="E108" i="1"/>
  <c r="D108" i="1"/>
  <c r="C108" i="1"/>
  <c r="B108" i="1"/>
  <c r="A108" i="1"/>
  <c r="J107" i="1"/>
  <c r="I107" i="1"/>
  <c r="H107" i="1"/>
  <c r="G107" i="1"/>
  <c r="F107" i="1"/>
  <c r="E107" i="1"/>
  <c r="D107" i="1"/>
  <c r="C107" i="1"/>
  <c r="B107" i="1"/>
  <c r="A107" i="1"/>
  <c r="J106" i="1"/>
  <c r="I106" i="1"/>
  <c r="H106" i="1"/>
  <c r="G106" i="1"/>
  <c r="F106" i="1"/>
  <c r="E106" i="1"/>
  <c r="D106" i="1"/>
  <c r="C106" i="1"/>
  <c r="B106" i="1"/>
  <c r="A106" i="1"/>
  <c r="J105" i="1"/>
  <c r="I105" i="1"/>
  <c r="H105" i="1"/>
  <c r="G105" i="1"/>
  <c r="F105" i="1"/>
  <c r="E105" i="1"/>
  <c r="D105" i="1"/>
  <c r="C105" i="1"/>
  <c r="B105" i="1"/>
  <c r="A105" i="1"/>
  <c r="J104" i="1"/>
  <c r="I104" i="1"/>
  <c r="H104" i="1"/>
  <c r="G104" i="1"/>
  <c r="F104" i="1"/>
  <c r="E104" i="1"/>
  <c r="D104" i="1"/>
  <c r="C104" i="1"/>
  <c r="B104" i="1"/>
  <c r="A104" i="1"/>
  <c r="J103" i="1"/>
  <c r="I103" i="1"/>
  <c r="H103" i="1"/>
  <c r="G103" i="1"/>
  <c r="F103" i="1"/>
  <c r="E103" i="1"/>
  <c r="D103" i="1"/>
  <c r="C103" i="1"/>
  <c r="B103" i="1"/>
  <c r="A103" i="1"/>
  <c r="J102" i="1"/>
  <c r="I102" i="1"/>
  <c r="H102" i="1"/>
  <c r="G102" i="1"/>
  <c r="F102" i="1"/>
  <c r="E102" i="1"/>
  <c r="D102" i="1"/>
  <c r="C102" i="1"/>
  <c r="B102" i="1"/>
  <c r="A102" i="1"/>
  <c r="J101" i="1"/>
  <c r="I101" i="1"/>
  <c r="H101" i="1"/>
  <c r="G101" i="1"/>
  <c r="F101" i="1"/>
  <c r="E101" i="1"/>
  <c r="D101" i="1"/>
  <c r="C101" i="1"/>
  <c r="B101" i="1"/>
  <c r="A101" i="1"/>
  <c r="J100" i="1"/>
  <c r="I100" i="1"/>
  <c r="H100" i="1"/>
  <c r="G100" i="1"/>
  <c r="F100" i="1"/>
  <c r="E100" i="1"/>
  <c r="D100" i="1"/>
  <c r="C100" i="1"/>
  <c r="B100" i="1"/>
  <c r="A100" i="1"/>
  <c r="J99" i="1"/>
  <c r="I99" i="1"/>
  <c r="H99" i="1"/>
  <c r="G99" i="1"/>
  <c r="F99" i="1"/>
  <c r="E99" i="1"/>
  <c r="D99" i="1"/>
  <c r="C99" i="1"/>
  <c r="B99" i="1"/>
  <c r="A99" i="1"/>
  <c r="J98" i="1"/>
  <c r="I98" i="1"/>
  <c r="H98" i="1"/>
  <c r="G98" i="1"/>
  <c r="F98" i="1"/>
  <c r="E98" i="1"/>
  <c r="D98" i="1"/>
  <c r="C98" i="1"/>
  <c r="B98" i="1"/>
  <c r="A98" i="1"/>
  <c r="J97" i="1"/>
  <c r="I97" i="1"/>
  <c r="H97" i="1"/>
  <c r="G97" i="1"/>
  <c r="F97" i="1"/>
  <c r="E97" i="1"/>
  <c r="D97" i="1"/>
  <c r="C97" i="1"/>
  <c r="B97" i="1"/>
  <c r="A97" i="1"/>
  <c r="J96" i="1"/>
  <c r="I96" i="1"/>
  <c r="H96" i="1"/>
  <c r="G96" i="1"/>
  <c r="F96" i="1"/>
  <c r="E96" i="1"/>
  <c r="D96" i="1"/>
  <c r="C96" i="1"/>
  <c r="B96" i="1"/>
  <c r="A96" i="1"/>
  <c r="J95" i="1"/>
  <c r="I95" i="1"/>
  <c r="H95" i="1"/>
  <c r="G95" i="1"/>
  <c r="F95" i="1"/>
  <c r="E95" i="1"/>
  <c r="D95" i="1"/>
  <c r="C95" i="1"/>
  <c r="B95" i="1"/>
  <c r="A95" i="1"/>
  <c r="J94" i="1"/>
  <c r="I94" i="1"/>
  <c r="H94" i="1"/>
  <c r="G94" i="1"/>
  <c r="F94" i="1"/>
  <c r="E94" i="1"/>
  <c r="D94" i="1"/>
  <c r="C94" i="1"/>
  <c r="B94" i="1"/>
  <c r="A94" i="1"/>
  <c r="J93" i="1"/>
  <c r="I93" i="1"/>
  <c r="H93" i="1"/>
  <c r="G93" i="1"/>
  <c r="F93" i="1"/>
  <c r="E93" i="1"/>
  <c r="D93" i="1"/>
  <c r="C93" i="1"/>
  <c r="B93" i="1"/>
  <c r="A93" i="1"/>
  <c r="J92" i="1"/>
  <c r="I92" i="1"/>
  <c r="H92" i="1"/>
  <c r="G92" i="1"/>
  <c r="F92" i="1"/>
  <c r="E92" i="1"/>
  <c r="D92" i="1"/>
  <c r="C92" i="1"/>
  <c r="B92" i="1"/>
  <c r="A92" i="1"/>
  <c r="J91" i="1"/>
  <c r="I91" i="1"/>
  <c r="H91" i="1"/>
  <c r="G91" i="1"/>
  <c r="F91" i="1"/>
  <c r="E91" i="1"/>
  <c r="D91" i="1"/>
  <c r="C91" i="1"/>
  <c r="B91" i="1"/>
  <c r="A91" i="1"/>
  <c r="J90" i="1"/>
  <c r="I90" i="1"/>
  <c r="H90" i="1"/>
  <c r="G90" i="1"/>
  <c r="F90" i="1"/>
  <c r="E90" i="1"/>
  <c r="D90" i="1"/>
  <c r="C90" i="1"/>
  <c r="B90" i="1"/>
  <c r="A90" i="1"/>
  <c r="J89" i="1"/>
  <c r="I89" i="1"/>
  <c r="H89" i="1"/>
  <c r="G89" i="1"/>
  <c r="F89" i="1"/>
  <c r="E89" i="1"/>
  <c r="D89" i="1"/>
  <c r="C89" i="1"/>
  <c r="B89" i="1"/>
  <c r="A89" i="1"/>
  <c r="J88" i="1"/>
  <c r="I88" i="1"/>
  <c r="H88" i="1"/>
  <c r="G88" i="1"/>
  <c r="F88" i="1"/>
  <c r="E88" i="1"/>
  <c r="D88" i="1"/>
  <c r="C88" i="1"/>
  <c r="B88" i="1"/>
  <c r="A88" i="1"/>
  <c r="J87" i="1"/>
  <c r="I87" i="1"/>
  <c r="H87" i="1"/>
  <c r="G87" i="1"/>
  <c r="F87" i="1"/>
  <c r="E87" i="1"/>
  <c r="D87" i="1"/>
  <c r="C87" i="1"/>
  <c r="B87" i="1"/>
  <c r="A87" i="1"/>
  <c r="J86" i="1"/>
  <c r="I86" i="1"/>
  <c r="H86" i="1"/>
  <c r="G86" i="1"/>
  <c r="F86" i="1"/>
  <c r="E86" i="1"/>
  <c r="D86" i="1"/>
  <c r="C86" i="1"/>
  <c r="B86" i="1"/>
  <c r="A86" i="1"/>
  <c r="J85" i="1"/>
  <c r="I85" i="1"/>
  <c r="H85" i="1"/>
  <c r="G85" i="1"/>
  <c r="F85" i="1"/>
  <c r="E85" i="1"/>
  <c r="D85" i="1"/>
  <c r="C85" i="1"/>
  <c r="B85" i="1"/>
  <c r="A85" i="1"/>
  <c r="J84" i="1"/>
  <c r="I84" i="1"/>
  <c r="H84" i="1"/>
  <c r="G84" i="1"/>
  <c r="F84" i="1"/>
  <c r="E84" i="1"/>
  <c r="D84" i="1"/>
  <c r="C84" i="1"/>
  <c r="B84" i="1"/>
  <c r="A84" i="1"/>
  <c r="J83" i="1"/>
  <c r="I83" i="1"/>
  <c r="H83" i="1"/>
  <c r="G83" i="1"/>
  <c r="F83" i="1"/>
  <c r="E83" i="1"/>
  <c r="D83" i="1"/>
  <c r="C83" i="1"/>
  <c r="B83" i="1"/>
  <c r="A83" i="1"/>
  <c r="J82" i="1"/>
  <c r="I82" i="1"/>
  <c r="H82" i="1"/>
  <c r="G82" i="1"/>
  <c r="F82" i="1"/>
  <c r="E82" i="1"/>
  <c r="D82" i="1"/>
  <c r="C82" i="1"/>
  <c r="B82" i="1"/>
  <c r="A82" i="1"/>
  <c r="J81" i="1"/>
  <c r="I81" i="1"/>
  <c r="H81" i="1"/>
  <c r="G81" i="1"/>
  <c r="F81" i="1"/>
  <c r="E81" i="1"/>
  <c r="D81" i="1"/>
  <c r="C81" i="1"/>
  <c r="B81" i="1"/>
  <c r="A81" i="1"/>
  <c r="J80" i="1"/>
  <c r="I80" i="1"/>
  <c r="H80" i="1"/>
  <c r="G80" i="1"/>
  <c r="F80" i="1"/>
  <c r="E80" i="1"/>
  <c r="D80" i="1"/>
  <c r="C80" i="1"/>
  <c r="B80" i="1"/>
  <c r="A80" i="1"/>
  <c r="J79" i="1"/>
  <c r="I79" i="1"/>
  <c r="H79" i="1"/>
  <c r="G79" i="1"/>
  <c r="F79" i="1"/>
  <c r="E79" i="1"/>
  <c r="D79" i="1"/>
  <c r="C79" i="1"/>
  <c r="B79" i="1"/>
  <c r="A79" i="1"/>
  <c r="J78" i="1"/>
  <c r="I78" i="1"/>
  <c r="H78" i="1"/>
  <c r="G78" i="1"/>
  <c r="F78" i="1"/>
  <c r="E78" i="1"/>
  <c r="D78" i="1"/>
  <c r="C78" i="1"/>
  <c r="B78" i="1"/>
  <c r="A78" i="1"/>
  <c r="J77" i="1"/>
  <c r="I77" i="1"/>
  <c r="H77" i="1"/>
  <c r="G77" i="1"/>
  <c r="F77" i="1"/>
  <c r="E77" i="1"/>
  <c r="D77" i="1"/>
  <c r="C77" i="1"/>
  <c r="B77" i="1"/>
  <c r="A77" i="1"/>
  <c r="J76" i="1"/>
  <c r="I76" i="1"/>
  <c r="H76" i="1"/>
  <c r="G76" i="1"/>
  <c r="F76" i="1"/>
  <c r="E76" i="1"/>
  <c r="D76" i="1"/>
  <c r="C76" i="1"/>
  <c r="B76" i="1"/>
  <c r="A76" i="1"/>
  <c r="J75" i="1"/>
  <c r="I75" i="1"/>
  <c r="H75" i="1"/>
  <c r="G75" i="1"/>
  <c r="F75" i="1"/>
  <c r="E75" i="1"/>
  <c r="D75" i="1"/>
  <c r="C75" i="1"/>
  <c r="B75" i="1"/>
  <c r="A75" i="1"/>
  <c r="J74" i="1"/>
  <c r="I74" i="1"/>
  <c r="H74" i="1"/>
  <c r="G74" i="1"/>
  <c r="F74" i="1"/>
  <c r="E74" i="1"/>
  <c r="D74" i="1"/>
  <c r="C74" i="1"/>
  <c r="B74" i="1"/>
  <c r="A74" i="1"/>
  <c r="J73" i="1"/>
  <c r="I73" i="1"/>
  <c r="H73" i="1"/>
  <c r="G73" i="1"/>
  <c r="F73" i="1"/>
  <c r="E73" i="1"/>
  <c r="D73" i="1"/>
  <c r="C73" i="1"/>
  <c r="B73" i="1"/>
  <c r="A73" i="1"/>
  <c r="J72" i="1"/>
  <c r="I72" i="1"/>
  <c r="H72" i="1"/>
  <c r="G72" i="1"/>
  <c r="F72" i="1"/>
  <c r="E72" i="1"/>
  <c r="D72" i="1"/>
  <c r="C72" i="1"/>
  <c r="B72" i="1"/>
  <c r="A72" i="1"/>
  <c r="J71" i="1"/>
  <c r="I71" i="1"/>
  <c r="H71" i="1"/>
  <c r="G71" i="1"/>
  <c r="F71" i="1"/>
  <c r="E71" i="1"/>
  <c r="D71" i="1"/>
  <c r="C71" i="1"/>
  <c r="B71" i="1"/>
  <c r="A71" i="1"/>
  <c r="J70" i="1"/>
  <c r="I70" i="1"/>
  <c r="H70" i="1"/>
  <c r="G70" i="1"/>
  <c r="F70" i="1"/>
  <c r="E70" i="1"/>
  <c r="D70" i="1"/>
  <c r="C70" i="1"/>
  <c r="B70" i="1"/>
  <c r="A70" i="1"/>
  <c r="J69" i="1"/>
  <c r="I69" i="1"/>
  <c r="H69" i="1"/>
  <c r="G69" i="1"/>
  <c r="F69" i="1"/>
  <c r="E69" i="1"/>
  <c r="D69" i="1"/>
  <c r="C69" i="1"/>
  <c r="B69" i="1"/>
  <c r="A69" i="1"/>
  <c r="J68" i="1"/>
  <c r="I68" i="1"/>
  <c r="H68" i="1"/>
  <c r="G68" i="1"/>
  <c r="F68" i="1"/>
  <c r="E68" i="1"/>
  <c r="D68" i="1"/>
  <c r="C68" i="1"/>
  <c r="B68" i="1"/>
  <c r="A68" i="1"/>
  <c r="J67" i="1"/>
  <c r="I67" i="1"/>
  <c r="H67" i="1"/>
  <c r="G67" i="1"/>
  <c r="F67" i="1"/>
  <c r="E67" i="1"/>
  <c r="D67" i="1"/>
  <c r="C67" i="1"/>
  <c r="B67" i="1"/>
  <c r="A67" i="1"/>
  <c r="J66" i="1"/>
  <c r="I66" i="1"/>
  <c r="H66" i="1"/>
  <c r="G66" i="1"/>
  <c r="F66" i="1"/>
  <c r="E66" i="1"/>
  <c r="D66" i="1"/>
  <c r="C66" i="1"/>
  <c r="B66" i="1"/>
  <c r="A66" i="1"/>
  <c r="J65" i="1"/>
  <c r="I65" i="1"/>
  <c r="H65" i="1"/>
  <c r="G65" i="1"/>
  <c r="F65" i="1"/>
  <c r="E65" i="1"/>
  <c r="D65" i="1"/>
  <c r="C65" i="1"/>
  <c r="B65" i="1"/>
  <c r="A65" i="1"/>
  <c r="J64" i="1"/>
  <c r="I64" i="1"/>
  <c r="H64" i="1"/>
  <c r="G64" i="1"/>
  <c r="F64" i="1"/>
  <c r="E64" i="1"/>
  <c r="D64" i="1"/>
  <c r="C64" i="1"/>
  <c r="B64" i="1"/>
  <c r="A64" i="1"/>
  <c r="J63" i="1"/>
  <c r="I63" i="1"/>
  <c r="H63" i="1"/>
  <c r="G63" i="1"/>
  <c r="F63" i="1"/>
  <c r="E63" i="1"/>
  <c r="D63" i="1"/>
  <c r="C63" i="1"/>
  <c r="B63" i="1"/>
  <c r="A63" i="1"/>
  <c r="J62" i="1"/>
  <c r="I62" i="1"/>
  <c r="H62" i="1"/>
  <c r="G62" i="1"/>
  <c r="F62" i="1"/>
  <c r="E62" i="1"/>
  <c r="D62" i="1"/>
  <c r="C62" i="1"/>
  <c r="B62" i="1"/>
  <c r="A62" i="1"/>
  <c r="J61" i="1"/>
  <c r="I61" i="1"/>
  <c r="H61" i="1"/>
  <c r="G61" i="1"/>
  <c r="F61" i="1"/>
  <c r="E61" i="1"/>
  <c r="D61" i="1"/>
  <c r="C61" i="1"/>
  <c r="B61" i="1"/>
  <c r="A61" i="1"/>
  <c r="J60" i="1"/>
  <c r="I60" i="1"/>
  <c r="H60" i="1"/>
  <c r="G60" i="1"/>
  <c r="F60" i="1"/>
  <c r="E60" i="1"/>
  <c r="D60" i="1"/>
  <c r="C60" i="1"/>
  <c r="B60" i="1"/>
  <c r="A60" i="1"/>
  <c r="J59" i="1"/>
  <c r="I59" i="1"/>
  <c r="H59" i="1"/>
  <c r="G59" i="1"/>
  <c r="F59" i="1"/>
  <c r="E59" i="1"/>
  <c r="D59" i="1"/>
  <c r="C59" i="1"/>
  <c r="B59" i="1"/>
  <c r="A59" i="1"/>
  <c r="J58" i="1"/>
  <c r="I58" i="1"/>
  <c r="H58" i="1"/>
  <c r="G58" i="1"/>
  <c r="F58" i="1"/>
  <c r="E58" i="1"/>
  <c r="D58" i="1"/>
  <c r="C58" i="1"/>
  <c r="B58" i="1"/>
  <c r="A58" i="1"/>
  <c r="J57" i="1"/>
  <c r="I57" i="1"/>
  <c r="H57" i="1"/>
  <c r="G57" i="1"/>
  <c r="F57" i="1"/>
  <c r="E57" i="1"/>
  <c r="D57" i="1"/>
  <c r="C57" i="1"/>
  <c r="B57" i="1"/>
  <c r="A57" i="1"/>
  <c r="J56" i="1"/>
  <c r="I56" i="1"/>
  <c r="H56" i="1"/>
  <c r="G56" i="1"/>
  <c r="F56" i="1"/>
  <c r="E56" i="1"/>
  <c r="D56" i="1"/>
  <c r="C56" i="1"/>
  <c r="B56" i="1"/>
  <c r="A56" i="1"/>
  <c r="J55" i="1"/>
  <c r="I55" i="1"/>
  <c r="H55" i="1"/>
  <c r="G55" i="1"/>
  <c r="F55" i="1"/>
  <c r="E55" i="1"/>
  <c r="D55" i="1"/>
  <c r="C55" i="1"/>
  <c r="B55" i="1"/>
  <c r="A55" i="1"/>
  <c r="J54" i="1"/>
  <c r="I54" i="1"/>
  <c r="H54" i="1"/>
  <c r="G54" i="1"/>
  <c r="F54" i="1"/>
  <c r="E54" i="1"/>
  <c r="D54" i="1"/>
  <c r="C54" i="1"/>
  <c r="B54" i="1"/>
  <c r="A54" i="1"/>
  <c r="J53" i="1"/>
  <c r="I53" i="1"/>
  <c r="H53" i="1"/>
  <c r="G53" i="1"/>
  <c r="F53" i="1"/>
  <c r="E53" i="1"/>
  <c r="D53" i="1"/>
  <c r="C53" i="1"/>
  <c r="B53" i="1"/>
  <c r="A53" i="1"/>
  <c r="J52" i="1"/>
  <c r="I52" i="1"/>
  <c r="H52" i="1"/>
  <c r="G52" i="1"/>
  <c r="F52" i="1"/>
  <c r="E52" i="1"/>
  <c r="D52" i="1"/>
  <c r="C52" i="1"/>
  <c r="B52" i="1"/>
  <c r="A52" i="1"/>
  <c r="J51" i="1"/>
  <c r="I51" i="1"/>
  <c r="H51" i="1"/>
  <c r="G51" i="1"/>
  <c r="F51" i="1"/>
  <c r="E51" i="1"/>
  <c r="D51" i="1"/>
  <c r="C51" i="1"/>
  <c r="B51" i="1"/>
  <c r="A51" i="1"/>
  <c r="J50" i="1"/>
  <c r="I50" i="1"/>
  <c r="H50" i="1"/>
  <c r="G50" i="1"/>
  <c r="F50" i="1"/>
  <c r="E50" i="1"/>
  <c r="D50" i="1"/>
  <c r="C50" i="1"/>
  <c r="B50" i="1"/>
  <c r="A50" i="1"/>
  <c r="J49" i="1"/>
  <c r="I49" i="1"/>
  <c r="H49" i="1"/>
  <c r="G49" i="1"/>
  <c r="F49" i="1"/>
  <c r="E49" i="1"/>
  <c r="D49" i="1"/>
  <c r="C49" i="1"/>
  <c r="B49" i="1"/>
  <c r="A49" i="1"/>
  <c r="J48" i="1"/>
  <c r="I48" i="1"/>
  <c r="H48" i="1"/>
  <c r="G48" i="1"/>
  <c r="F48" i="1"/>
  <c r="E48" i="1"/>
  <c r="D48" i="1"/>
  <c r="C48" i="1"/>
  <c r="B48" i="1"/>
  <c r="A48" i="1"/>
  <c r="J47" i="1"/>
  <c r="I47" i="1"/>
  <c r="H47" i="1"/>
  <c r="G47" i="1"/>
  <c r="F47" i="1"/>
  <c r="E47" i="1"/>
  <c r="D47" i="1"/>
  <c r="C47" i="1"/>
  <c r="B47" i="1"/>
  <c r="A47" i="1"/>
  <c r="J46" i="1"/>
  <c r="I46" i="1"/>
  <c r="H46" i="1"/>
  <c r="G46" i="1"/>
  <c r="F46" i="1"/>
  <c r="E46" i="1"/>
  <c r="D46" i="1"/>
  <c r="C46" i="1"/>
  <c r="B46" i="1"/>
  <c r="A46" i="1"/>
  <c r="J45" i="1"/>
  <c r="I45" i="1"/>
  <c r="H45" i="1"/>
  <c r="G45" i="1"/>
  <c r="F45" i="1"/>
  <c r="E45" i="1"/>
  <c r="D45" i="1"/>
  <c r="C45" i="1"/>
  <c r="B45" i="1"/>
  <c r="A45" i="1"/>
  <c r="J44" i="1"/>
  <c r="I44" i="1"/>
  <c r="H44" i="1"/>
  <c r="G44" i="1"/>
  <c r="F44" i="1"/>
  <c r="E44" i="1"/>
  <c r="D44" i="1"/>
  <c r="C44" i="1"/>
  <c r="B44" i="1"/>
  <c r="A44" i="1"/>
  <c r="J43" i="1"/>
  <c r="I43" i="1"/>
  <c r="H43" i="1"/>
  <c r="G43" i="1"/>
  <c r="F43" i="1"/>
  <c r="E43" i="1"/>
  <c r="D43" i="1"/>
  <c r="C43" i="1"/>
  <c r="B43" i="1"/>
  <c r="A43" i="1"/>
  <c r="J42" i="1"/>
  <c r="I42" i="1"/>
  <c r="H42" i="1"/>
  <c r="G42" i="1"/>
  <c r="F42" i="1"/>
  <c r="E42" i="1"/>
  <c r="D42" i="1"/>
  <c r="C42" i="1"/>
  <c r="B42" i="1"/>
  <c r="A42" i="1"/>
  <c r="J41" i="1"/>
  <c r="I41" i="1"/>
  <c r="H41" i="1"/>
  <c r="G41" i="1"/>
  <c r="F41" i="1"/>
  <c r="E41" i="1"/>
  <c r="D41" i="1"/>
  <c r="C41" i="1"/>
  <c r="B41" i="1"/>
  <c r="A41" i="1"/>
  <c r="J40" i="1"/>
  <c r="I40" i="1"/>
  <c r="H40" i="1"/>
  <c r="G40" i="1"/>
  <c r="F40" i="1"/>
  <c r="E40" i="1"/>
  <c r="D40" i="1"/>
  <c r="C40" i="1"/>
  <c r="B40" i="1"/>
  <c r="A40" i="1"/>
  <c r="J39" i="1"/>
  <c r="I39" i="1"/>
  <c r="H39" i="1"/>
  <c r="G39" i="1"/>
  <c r="F39" i="1"/>
  <c r="E39" i="1"/>
  <c r="D39" i="1"/>
  <c r="C39" i="1"/>
  <c r="B39" i="1"/>
  <c r="A39" i="1"/>
  <c r="J38" i="1"/>
  <c r="I38" i="1"/>
  <c r="H38" i="1"/>
  <c r="G38" i="1"/>
  <c r="F38" i="1"/>
  <c r="E38" i="1"/>
  <c r="D38" i="1"/>
  <c r="C38" i="1"/>
  <c r="B38" i="1"/>
  <c r="A38" i="1"/>
  <c r="J37" i="1"/>
  <c r="I37" i="1"/>
  <c r="H37" i="1"/>
  <c r="G37" i="1"/>
  <c r="F37" i="1"/>
  <c r="E37" i="1"/>
  <c r="D37" i="1"/>
  <c r="C37" i="1"/>
  <c r="B37" i="1"/>
  <c r="A37" i="1"/>
  <c r="J36" i="1"/>
  <c r="I36" i="1"/>
  <c r="H36" i="1"/>
  <c r="G36" i="1"/>
  <c r="F36" i="1"/>
  <c r="E36" i="1"/>
  <c r="D36" i="1"/>
  <c r="C36" i="1"/>
  <c r="B36" i="1"/>
  <c r="A36" i="1"/>
  <c r="J35" i="1"/>
  <c r="I35" i="1"/>
  <c r="H35" i="1"/>
  <c r="G35" i="1"/>
  <c r="F35" i="1"/>
  <c r="E35" i="1"/>
  <c r="D35" i="1"/>
  <c r="C35" i="1"/>
  <c r="B35" i="1"/>
  <c r="A35" i="1"/>
  <c r="J34" i="1"/>
  <c r="I34" i="1"/>
  <c r="H34" i="1"/>
  <c r="G34" i="1"/>
  <c r="F34" i="1"/>
  <c r="E34" i="1"/>
  <c r="D34" i="1"/>
  <c r="C34" i="1"/>
  <c r="B34" i="1"/>
  <c r="A34" i="1"/>
  <c r="J33" i="1"/>
  <c r="I33" i="1"/>
  <c r="H33" i="1"/>
  <c r="G33" i="1"/>
  <c r="F33" i="1"/>
  <c r="E33" i="1"/>
  <c r="D33" i="1"/>
  <c r="C33" i="1"/>
  <c r="B33" i="1"/>
  <c r="A33" i="1"/>
  <c r="J32" i="1"/>
  <c r="I32" i="1"/>
  <c r="H32" i="1"/>
  <c r="G32" i="1"/>
  <c r="F32" i="1"/>
  <c r="E32" i="1"/>
  <c r="D32" i="1"/>
  <c r="C32" i="1"/>
  <c r="B32" i="1"/>
  <c r="A32" i="1"/>
  <c r="J31" i="1"/>
  <c r="I31" i="1"/>
  <c r="H31" i="1"/>
  <c r="G31" i="1"/>
  <c r="F31" i="1"/>
  <c r="E31" i="1"/>
  <c r="D31" i="1"/>
  <c r="C31" i="1"/>
  <c r="B31" i="1"/>
  <c r="A31" i="1"/>
  <c r="J30" i="1"/>
  <c r="I30" i="1"/>
  <c r="H30" i="1"/>
  <c r="G30" i="1"/>
  <c r="F30" i="1"/>
  <c r="E30" i="1"/>
  <c r="D30" i="1"/>
  <c r="C30" i="1"/>
  <c r="B30" i="1"/>
  <c r="A30" i="1"/>
  <c r="J29" i="1"/>
  <c r="I29" i="1"/>
  <c r="H29" i="1"/>
  <c r="G29" i="1"/>
  <c r="F29" i="1"/>
  <c r="E29" i="1"/>
  <c r="D29" i="1"/>
  <c r="C29" i="1"/>
  <c r="B29" i="1"/>
  <c r="A29" i="1"/>
  <c r="J28" i="1"/>
  <c r="I28" i="1"/>
  <c r="H28" i="1"/>
  <c r="G28" i="1"/>
  <c r="F28" i="1"/>
  <c r="E28" i="1"/>
  <c r="D28" i="1"/>
  <c r="C28" i="1"/>
  <c r="B28" i="1"/>
  <c r="A28" i="1"/>
  <c r="J27" i="1"/>
  <c r="I27" i="1"/>
  <c r="H27" i="1"/>
  <c r="G27" i="1"/>
  <c r="F27" i="1"/>
  <c r="E27" i="1"/>
  <c r="D27" i="1"/>
  <c r="C27" i="1"/>
  <c r="B27" i="1"/>
  <c r="A27" i="1"/>
  <c r="J26" i="1"/>
  <c r="I26" i="1"/>
  <c r="H26" i="1"/>
  <c r="G26" i="1"/>
  <c r="F26" i="1"/>
  <c r="E26" i="1"/>
  <c r="D26" i="1"/>
  <c r="C26" i="1"/>
  <c r="B26" i="1"/>
  <c r="A26" i="1"/>
  <c r="J25" i="1"/>
  <c r="I25" i="1"/>
  <c r="H25" i="1"/>
  <c r="G25" i="1"/>
  <c r="F25" i="1"/>
  <c r="E25" i="1"/>
  <c r="D25" i="1"/>
  <c r="C25" i="1"/>
  <c r="B25" i="1"/>
  <c r="A25" i="1"/>
  <c r="J24" i="1"/>
  <c r="I24" i="1"/>
  <c r="H24" i="1"/>
  <c r="G24" i="1"/>
  <c r="F24" i="1"/>
  <c r="E24" i="1"/>
  <c r="D24" i="1"/>
  <c r="C24" i="1"/>
  <c r="B24" i="1"/>
  <c r="A24" i="1"/>
  <c r="J23" i="1"/>
  <c r="I23" i="1"/>
  <c r="H23" i="1"/>
  <c r="G23" i="1"/>
  <c r="F23" i="1"/>
  <c r="E23" i="1"/>
  <c r="D23" i="1"/>
  <c r="C23" i="1"/>
  <c r="B23" i="1"/>
  <c r="A23" i="1"/>
  <c r="J22" i="1"/>
  <c r="I22" i="1"/>
  <c r="H22" i="1"/>
  <c r="G22" i="1"/>
  <c r="F22" i="1"/>
  <c r="E22" i="1"/>
  <c r="D22" i="1"/>
  <c r="C22" i="1"/>
  <c r="B22" i="1"/>
  <c r="A22" i="1"/>
  <c r="J21" i="1"/>
  <c r="I21" i="1"/>
  <c r="H21" i="1"/>
  <c r="G21" i="1"/>
  <c r="F21" i="1"/>
  <c r="E21" i="1"/>
  <c r="D21" i="1"/>
  <c r="C21" i="1"/>
  <c r="B21" i="1"/>
  <c r="A21" i="1"/>
  <c r="J20" i="1"/>
  <c r="I20" i="1"/>
  <c r="H20" i="1"/>
  <c r="G20" i="1"/>
  <c r="F20" i="1"/>
  <c r="E20" i="1"/>
  <c r="D20" i="1"/>
  <c r="C20" i="1"/>
  <c r="B20" i="1"/>
  <c r="A20" i="1"/>
  <c r="J19" i="1"/>
  <c r="I19" i="1"/>
  <c r="H19" i="1"/>
  <c r="G19" i="1"/>
  <c r="F19" i="1"/>
  <c r="E19" i="1"/>
  <c r="D19" i="1"/>
  <c r="C19" i="1"/>
  <c r="B19" i="1"/>
  <c r="A19" i="1"/>
  <c r="J18" i="1"/>
  <c r="I18" i="1"/>
  <c r="H18" i="1"/>
  <c r="G18" i="1"/>
  <c r="F18" i="1"/>
  <c r="E18" i="1"/>
  <c r="D18" i="1"/>
  <c r="C18" i="1"/>
  <c r="B18" i="1"/>
  <c r="A18" i="1"/>
  <c r="J17" i="1"/>
  <c r="I17" i="1"/>
  <c r="H17" i="1"/>
  <c r="G17" i="1"/>
  <c r="F17" i="1"/>
  <c r="E17" i="1"/>
  <c r="D17" i="1"/>
  <c r="C17" i="1"/>
  <c r="B17" i="1"/>
  <c r="A17" i="1"/>
  <c r="J16" i="1"/>
  <c r="I16" i="1"/>
  <c r="H16" i="1"/>
  <c r="G16" i="1"/>
  <c r="F16" i="1"/>
  <c r="E16" i="1"/>
  <c r="D16" i="1"/>
  <c r="C16" i="1"/>
  <c r="B16" i="1"/>
  <c r="A16" i="1"/>
  <c r="J15" i="1"/>
  <c r="I15" i="1"/>
  <c r="H15" i="1"/>
  <c r="G15" i="1"/>
  <c r="F15" i="1"/>
  <c r="E15" i="1"/>
  <c r="D15" i="1"/>
  <c r="C15" i="1"/>
  <c r="B15" i="1"/>
  <c r="A15" i="1"/>
  <c r="J14" i="1"/>
  <c r="I14" i="1"/>
  <c r="H14" i="1"/>
  <c r="G14" i="1"/>
  <c r="F14" i="1"/>
  <c r="E14" i="1"/>
  <c r="D14" i="1"/>
  <c r="C14" i="1"/>
  <c r="B14" i="1"/>
  <c r="A14" i="1"/>
  <c r="J13" i="1"/>
  <c r="I13" i="1"/>
  <c r="H13" i="1"/>
  <c r="G13" i="1"/>
  <c r="F13" i="1"/>
  <c r="E13" i="1"/>
  <c r="D13" i="1"/>
  <c r="C13" i="1"/>
  <c r="B13" i="1"/>
  <c r="A13" i="1"/>
  <c r="J12" i="1"/>
  <c r="I12" i="1"/>
  <c r="H12" i="1"/>
  <c r="G12" i="1"/>
  <c r="F12" i="1"/>
  <c r="E12" i="1"/>
  <c r="D12" i="1"/>
  <c r="C12" i="1"/>
  <c r="B12" i="1"/>
  <c r="A12" i="1"/>
  <c r="J11" i="1"/>
  <c r="I11" i="1"/>
  <c r="H11" i="1"/>
  <c r="G11" i="1"/>
  <c r="F11" i="1"/>
  <c r="E11" i="1"/>
  <c r="D11" i="1"/>
  <c r="C11" i="1"/>
  <c r="B11" i="1"/>
  <c r="A11" i="1"/>
  <c r="J10" i="1"/>
  <c r="I10" i="1"/>
  <c r="H10" i="1"/>
  <c r="G10" i="1"/>
  <c r="F10" i="1"/>
  <c r="E10" i="1"/>
  <c r="D10" i="1"/>
  <c r="C10" i="1"/>
  <c r="B10" i="1"/>
  <c r="A10" i="1"/>
  <c r="J9" i="1"/>
  <c r="I9" i="1"/>
  <c r="H9" i="1"/>
  <c r="G9" i="1"/>
  <c r="F9" i="1"/>
  <c r="E9" i="1"/>
  <c r="D9" i="1"/>
  <c r="C9" i="1"/>
  <c r="B9" i="1"/>
  <c r="A9" i="1"/>
  <c r="J8" i="1"/>
  <c r="I8" i="1"/>
  <c r="H8" i="1"/>
  <c r="G8" i="1"/>
  <c r="F8" i="1"/>
  <c r="E8" i="1"/>
  <c r="D8" i="1"/>
  <c r="C8" i="1"/>
  <c r="B8" i="1"/>
  <c r="A8" i="1"/>
  <c r="J7" i="1"/>
  <c r="I7" i="1"/>
  <c r="H7" i="1"/>
  <c r="G7" i="1"/>
  <c r="F7" i="1"/>
  <c r="E7" i="1"/>
  <c r="D7" i="1"/>
  <c r="C7" i="1"/>
  <c r="B7" i="1"/>
  <c r="A7" i="1"/>
  <c r="J6" i="1"/>
  <c r="I6" i="1"/>
  <c r="H6" i="1"/>
  <c r="G6" i="1"/>
  <c r="F6" i="1"/>
  <c r="E6" i="1"/>
  <c r="D6" i="1"/>
  <c r="C6" i="1"/>
  <c r="B6" i="1"/>
  <c r="A6" i="1"/>
  <c r="J5" i="1"/>
  <c r="I5" i="1"/>
  <c r="H5" i="1"/>
  <c r="G5" i="1"/>
  <c r="F5" i="1"/>
  <c r="E5" i="1"/>
  <c r="D5" i="1"/>
  <c r="C5" i="1"/>
  <c r="B5" i="1"/>
  <c r="A5" i="1"/>
  <c r="J4" i="1"/>
  <c r="I4" i="1"/>
  <c r="H4" i="1"/>
  <c r="G4" i="1"/>
  <c r="F4" i="1"/>
  <c r="E4" i="1"/>
  <c r="D4" i="1"/>
  <c r="C4" i="1"/>
  <c r="B4" i="1"/>
  <c r="A4" i="1"/>
  <c r="J3" i="1"/>
  <c r="I3" i="1"/>
  <c r="H3" i="1"/>
  <c r="G3" i="1"/>
  <c r="F3" i="1"/>
  <c r="E3" i="1"/>
  <c r="D3" i="1"/>
  <c r="C3" i="1"/>
  <c r="B3" i="1"/>
  <c r="A3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<sst xmlns="http://schemas.openxmlformats.org/spreadsheetml/2006/main" count="256" uniqueCount="23">
  <si>
    <t>Class1</t>
  </si>
  <si>
    <t>Class2</t>
  </si>
  <si>
    <t>Class3</t>
  </si>
  <si>
    <t>Class4</t>
  </si>
  <si>
    <t>Class5</t>
  </si>
  <si>
    <t>Class6</t>
  </si>
  <si>
    <t>Class7</t>
  </si>
  <si>
    <t>Class8</t>
  </si>
  <si>
    <t>Class9</t>
  </si>
  <si>
    <t>Class10</t>
  </si>
  <si>
    <t>Flow Rate</t>
  </si>
  <si>
    <t>Velocity</t>
  </si>
  <si>
    <t>Half Cone angle</t>
  </si>
  <si>
    <t>Input</t>
  </si>
  <si>
    <t>Location</t>
  </si>
  <si>
    <t>Right</t>
  </si>
  <si>
    <t>Vestibule</t>
  </si>
  <si>
    <t>Nasal Valve</t>
  </si>
  <si>
    <t>Nasopharynx</t>
  </si>
  <si>
    <t>Outlet</t>
  </si>
  <si>
    <t>Left</t>
  </si>
  <si>
    <t>name</t>
  </si>
  <si>
    <t>Anterior Turbinate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</si>
</sst>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7" borderId="11" xfId="0" applyFill="1" applyBorder="1"/>
    <xf numFmtId="0" fontId="0" fillId="38" borderId="10" xfId="0" applyFill="1" applyBorder="1"/>
    <xf numFmtId="0" fontId="0" fillId="0" borderId="10" xfId="0" applyBorder="1"/>
    <xf numFmtId="0" fontId="0" fillId="39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workbookViewId="0">
      <selection activeCell="O9" sqref="O9"/>
    </sheetView>
  </sheetViews>
  <sheetFormatPr defaultRowHeight="14.5" x14ac:dyDescent="0.35"/>
  <cols>
    <col min="15" max="15" width="13.4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</v>
      </c>
    </row>
    <row r="2" spans="1:16" x14ac:dyDescent="0.35">
      <c r="A2">
        <f>0*(1/150)</f>
        <v>0</v>
      </c>
      <c r="B2">
        <f>20*(1/150)</f>
        <v>0.13333333333333333</v>
      </c>
      <c r="C2">
        <f>35*(1/150)</f>
        <v>0.23333333333333334</v>
      </c>
      <c r="D2">
        <f>31*(1/150)</f>
        <v>0.20666666666666669</v>
      </c>
      <c r="E2">
        <f>42*(1/150)</f>
        <v>0.28000000000000003</v>
      </c>
      <c r="F2">
        <f>45*(1/150)</f>
        <v>0.30000000000000004</v>
      </c>
      <c r="G2">
        <f>51*(1/150)</f>
        <v>0.34</v>
      </c>
      <c r="H2">
        <f>53*(1/150)</f>
        <v>0.35333333333333333</v>
      </c>
      <c r="I2">
        <f>57*(1/150)</f>
        <v>0.38</v>
      </c>
      <c r="J2">
        <f>47*(1/150)</f>
        <v>0.31333333333333335</v>
      </c>
      <c r="K2">
        <v>8.6999999999999993</v>
      </c>
      <c r="L2">
        <v>19.2</v>
      </c>
      <c r="M2">
        <v>16</v>
      </c>
      <c r="N2" t="s">
        <v>15</v>
      </c>
      <c r="O2" t="s">
        <v>16</v>
      </c>
      <c r="P2">
        <v>0</v>
      </c>
    </row>
    <row r="3" spans="1:16" x14ac:dyDescent="0.35">
      <c r="A3">
        <f>0*(1/150)</f>
        <v>0</v>
      </c>
      <c r="B3">
        <f>534*(1/150)</f>
        <v>3.56</v>
      </c>
      <c r="C3">
        <f>860*(1/150)</f>
        <v>5.7333333333333334</v>
      </c>
      <c r="D3">
        <f>783*(1/150)</f>
        <v>5.2200000000000006</v>
      </c>
      <c r="E3">
        <f>782*(1/150)</f>
        <v>5.2133333333333338</v>
      </c>
      <c r="F3">
        <f>860*(1/150)</f>
        <v>5.7333333333333334</v>
      </c>
      <c r="G3">
        <f>746*(1/150)</f>
        <v>4.9733333333333336</v>
      </c>
      <c r="H3">
        <f>786*(1/150)</f>
        <v>5.24</v>
      </c>
      <c r="I3">
        <f>742*(1/150)</f>
        <v>4.9466666666666672</v>
      </c>
      <c r="J3">
        <f>855*(1/150)</f>
        <v>5.7</v>
      </c>
      <c r="K3">
        <v>8.6999999999999993</v>
      </c>
      <c r="L3">
        <v>19.2</v>
      </c>
      <c r="M3">
        <v>16</v>
      </c>
      <c r="N3" t="s">
        <v>15</v>
      </c>
      <c r="O3" t="s">
        <v>17</v>
      </c>
      <c r="P3">
        <v>1</v>
      </c>
    </row>
    <row r="4" spans="1:16" x14ac:dyDescent="0.35">
      <c r="A4">
        <f>114*(1/150)</f>
        <v>0.76</v>
      </c>
      <c r="B4">
        <f>523*(1/150)</f>
        <v>3.4866666666666668</v>
      </c>
      <c r="C4">
        <f>752*(1/150)</f>
        <v>5.0133333333333336</v>
      </c>
      <c r="D4">
        <f>686*(1/150)</f>
        <v>4.5733333333333333</v>
      </c>
      <c r="E4">
        <f>676*(1/150)</f>
        <v>4.5066666666666668</v>
      </c>
      <c r="F4">
        <f>745*(1/150)</f>
        <v>4.9666666666666668</v>
      </c>
      <c r="G4">
        <f>703*(1/150)</f>
        <v>4.6866666666666665</v>
      </c>
      <c r="H4">
        <f>811*(1/150)</f>
        <v>5.4066666666666672</v>
      </c>
      <c r="I4">
        <f>701*(1/150)</f>
        <v>4.6733333333333338</v>
      </c>
      <c r="J4">
        <f>748*(1/150)</f>
        <v>4.9866666666666672</v>
      </c>
      <c r="K4">
        <v>8.6999999999999993</v>
      </c>
      <c r="L4">
        <v>19.2</v>
      </c>
      <c r="M4">
        <v>16</v>
      </c>
      <c r="N4" t="s">
        <v>15</v>
      </c>
      <c r="O4" t="s">
        <v>22</v>
      </c>
      <c r="P4">
        <v>2</v>
      </c>
    </row>
    <row r="5" spans="1:16" x14ac:dyDescent="0.35">
      <c r="A5">
        <f>0*(1/150)</f>
        <v>0</v>
      </c>
      <c r="B5">
        <f>12*(1/150)</f>
        <v>0.08</v>
      </c>
      <c r="C5">
        <f t="shared" ref="C5:J6" si="0">0*(1/150)</f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v>8.6999999999999993</v>
      </c>
      <c r="L5">
        <v>19.2</v>
      </c>
      <c r="M5">
        <v>16</v>
      </c>
      <c r="N5" t="s">
        <v>15</v>
      </c>
      <c r="O5" t="s">
        <v>18</v>
      </c>
      <c r="P5">
        <v>3</v>
      </c>
    </row>
    <row r="6" spans="1:16" x14ac:dyDescent="0.35">
      <c r="A6">
        <f>781*(1/150)</f>
        <v>5.206666666666667</v>
      </c>
      <c r="B6">
        <f>350*(1/150)</f>
        <v>2.3333333333333335</v>
      </c>
      <c r="C6">
        <f t="shared" si="0"/>
        <v>0</v>
      </c>
      <c r="D6">
        <f t="shared" si="0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v>8.6999999999999993</v>
      </c>
      <c r="L6">
        <v>19.2</v>
      </c>
      <c r="M6">
        <v>16</v>
      </c>
      <c r="N6" t="s">
        <v>15</v>
      </c>
      <c r="O6" t="s">
        <v>19</v>
      </c>
      <c r="P6">
        <v>4</v>
      </c>
    </row>
    <row r="7" spans="1:16" x14ac:dyDescent="0.35">
      <c r="A7">
        <f>17*(1/150)</f>
        <v>0.11333333333333334</v>
      </c>
      <c r="B7">
        <f>479*(1/150)</f>
        <v>3.1933333333333334</v>
      </c>
      <c r="C7">
        <f>599*(1/150)</f>
        <v>3.9933333333333336</v>
      </c>
      <c r="D7">
        <f>508*(1/150)</f>
        <v>3.3866666666666667</v>
      </c>
      <c r="E7">
        <f>566*(1/150)</f>
        <v>3.7733333333333334</v>
      </c>
      <c r="F7">
        <f>577*(1/150)</f>
        <v>3.8466666666666671</v>
      </c>
      <c r="G7">
        <f>572*(1/150)</f>
        <v>3.8133333333333335</v>
      </c>
      <c r="H7">
        <f>597*(1/150)</f>
        <v>3.9800000000000004</v>
      </c>
      <c r="I7">
        <f>532*(1/150)</f>
        <v>3.5466666666666669</v>
      </c>
      <c r="J7">
        <f>632*(1/150)</f>
        <v>4.2133333333333338</v>
      </c>
      <c r="K7">
        <v>8.6999999999999993</v>
      </c>
      <c r="L7">
        <v>19.2</v>
      </c>
      <c r="M7">
        <v>39.5</v>
      </c>
      <c r="N7" t="s">
        <v>15</v>
      </c>
      <c r="O7" t="s">
        <v>16</v>
      </c>
      <c r="P7">
        <v>0</v>
      </c>
    </row>
    <row r="8" spans="1:16" x14ac:dyDescent="0.35">
      <c r="A8">
        <f>0*(1/150)</f>
        <v>0</v>
      </c>
      <c r="B8">
        <f>403*(1/150)</f>
        <v>2.686666666666667</v>
      </c>
      <c r="C8">
        <f>640*(1/150)</f>
        <v>4.2666666666666666</v>
      </c>
      <c r="D8">
        <f>588*(1/150)</f>
        <v>3.9200000000000004</v>
      </c>
      <c r="E8">
        <f>539*(1/150)</f>
        <v>3.5933333333333337</v>
      </c>
      <c r="F8">
        <f>613*(1/150)</f>
        <v>4.0866666666666669</v>
      </c>
      <c r="G8">
        <f>543*(1/150)</f>
        <v>3.62</v>
      </c>
      <c r="H8">
        <f>633*(1/150)</f>
        <v>4.2200000000000006</v>
      </c>
      <c r="I8">
        <f>581*(1/150)</f>
        <v>3.8733333333333335</v>
      </c>
      <c r="J8">
        <f>617*(1/150)</f>
        <v>4.1133333333333333</v>
      </c>
      <c r="K8">
        <v>8.6999999999999993</v>
      </c>
      <c r="L8">
        <v>19.2</v>
      </c>
      <c r="M8">
        <v>39.5</v>
      </c>
      <c r="N8" t="s">
        <v>15</v>
      </c>
      <c r="O8" t="s">
        <v>17</v>
      </c>
      <c r="P8">
        <v>1</v>
      </c>
    </row>
    <row r="9" spans="1:16" x14ac:dyDescent="0.35">
      <c r="A9">
        <f>57*(1/150)</f>
        <v>0.38</v>
      </c>
      <c r="B9">
        <f>286*(1/150)</f>
        <v>1.9066666666666667</v>
      </c>
      <c r="C9">
        <f>399*(1/150)</f>
        <v>2.66</v>
      </c>
      <c r="D9">
        <f>398*(1/150)</f>
        <v>2.6533333333333333</v>
      </c>
      <c r="E9">
        <f>393*(1/150)</f>
        <v>2.62</v>
      </c>
      <c r="F9">
        <f>455*(1/150)</f>
        <v>3.0333333333333337</v>
      </c>
      <c r="G9">
        <f>379*(1/150)</f>
        <v>2.5266666666666668</v>
      </c>
      <c r="H9">
        <f>413*(1/150)</f>
        <v>2.7533333333333334</v>
      </c>
      <c r="I9">
        <f>385*(1/150)</f>
        <v>2.5666666666666669</v>
      </c>
      <c r="J9">
        <f>398*(1/150)</f>
        <v>2.6533333333333333</v>
      </c>
      <c r="K9">
        <v>8.6999999999999993</v>
      </c>
      <c r="L9">
        <v>19.2</v>
      </c>
      <c r="M9">
        <v>39.5</v>
      </c>
      <c r="N9" t="s">
        <v>15</v>
      </c>
      <c r="O9" t="s">
        <v>22</v>
      </c>
      <c r="P9">
        <v>2</v>
      </c>
    </row>
    <row r="10" spans="1:16" x14ac:dyDescent="0.35">
      <c r="A10">
        <f>0*(1/150)</f>
        <v>0</v>
      </c>
      <c r="B10">
        <f>14*(1/150)</f>
        <v>9.3333333333333338E-2</v>
      </c>
      <c r="C10">
        <f t="shared" ref="C10:J11" si="1">0*(1/150)</f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0</v>
      </c>
      <c r="I10">
        <f t="shared" si="1"/>
        <v>0</v>
      </c>
      <c r="J10">
        <f t="shared" si="1"/>
        <v>0</v>
      </c>
      <c r="K10">
        <v>8.6999999999999993</v>
      </c>
      <c r="L10">
        <v>19.2</v>
      </c>
      <c r="M10">
        <v>39.5</v>
      </c>
      <c r="N10" t="s">
        <v>15</v>
      </c>
      <c r="O10" t="s">
        <v>18</v>
      </c>
      <c r="P10">
        <v>3</v>
      </c>
    </row>
    <row r="11" spans="1:16" x14ac:dyDescent="0.35">
      <c r="A11">
        <f>818*(1/150)</f>
        <v>5.453333333333334</v>
      </c>
      <c r="B11">
        <f>281*(1/150)</f>
        <v>1.8733333333333335</v>
      </c>
      <c r="C11">
        <f t="shared" si="1"/>
        <v>0</v>
      </c>
      <c r="D11">
        <f t="shared" si="1"/>
        <v>0</v>
      </c>
      <c r="E11">
        <f t="shared" si="1"/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v>8.6999999999999993</v>
      </c>
      <c r="L11">
        <v>19.2</v>
      </c>
      <c r="M11">
        <v>39.5</v>
      </c>
      <c r="N11" t="s">
        <v>15</v>
      </c>
      <c r="O11" t="s">
        <v>19</v>
      </c>
      <c r="P11">
        <v>4</v>
      </c>
    </row>
    <row r="12" spans="1:16" x14ac:dyDescent="0.35">
      <c r="A12">
        <f t="shared" ref="A12:I12" si="2">0*(1/150)</f>
        <v>0</v>
      </c>
      <c r="B12">
        <f t="shared" si="2"/>
        <v>0</v>
      </c>
      <c r="C12">
        <f t="shared" si="2"/>
        <v>0</v>
      </c>
      <c r="D12">
        <f t="shared" si="2"/>
        <v>0</v>
      </c>
      <c r="E12">
        <f t="shared" si="2"/>
        <v>0</v>
      </c>
      <c r="F12">
        <f t="shared" si="2"/>
        <v>0</v>
      </c>
      <c r="G12">
        <f t="shared" si="2"/>
        <v>0</v>
      </c>
      <c r="H12">
        <f t="shared" si="2"/>
        <v>0</v>
      </c>
      <c r="I12">
        <f t="shared" si="2"/>
        <v>0</v>
      </c>
      <c r="J12">
        <f>9*(1/150)</f>
        <v>6.0000000000000005E-2</v>
      </c>
      <c r="K12">
        <v>8.6999999999999993</v>
      </c>
      <c r="L12">
        <v>2</v>
      </c>
      <c r="M12">
        <v>16</v>
      </c>
      <c r="N12" t="s">
        <v>15</v>
      </c>
      <c r="O12" t="s">
        <v>16</v>
      </c>
      <c r="P12">
        <v>0</v>
      </c>
    </row>
    <row r="13" spans="1:16" x14ac:dyDescent="0.35">
      <c r="A13">
        <f>0*(1/150)</f>
        <v>0</v>
      </c>
      <c r="B13">
        <f>0*(1/150)</f>
        <v>0</v>
      </c>
      <c r="C13">
        <f>77*(1/150)</f>
        <v>0.51333333333333342</v>
      </c>
      <c r="D13">
        <f>213*(1/150)</f>
        <v>1.4200000000000002</v>
      </c>
      <c r="E13">
        <f>358*(1/150)</f>
        <v>2.3866666666666667</v>
      </c>
      <c r="F13">
        <f>484*(1/150)</f>
        <v>3.226666666666667</v>
      </c>
      <c r="G13">
        <f>554*(1/150)</f>
        <v>3.6933333333333334</v>
      </c>
      <c r="H13">
        <f>678*(1/150)</f>
        <v>4.5200000000000005</v>
      </c>
      <c r="I13">
        <f>636*(1/150)</f>
        <v>4.24</v>
      </c>
      <c r="J13">
        <f>728*(1/150)</f>
        <v>4.8533333333333335</v>
      </c>
      <c r="K13">
        <v>8.6999999999999993</v>
      </c>
      <c r="L13">
        <v>2</v>
      </c>
      <c r="M13">
        <v>16</v>
      </c>
      <c r="N13" t="s">
        <v>15</v>
      </c>
      <c r="O13" t="s">
        <v>17</v>
      </c>
      <c r="P13">
        <v>1</v>
      </c>
    </row>
    <row r="14" spans="1:16" x14ac:dyDescent="0.35">
      <c r="A14">
        <f>200*(1/150)</f>
        <v>1.3333333333333335</v>
      </c>
      <c r="B14">
        <f>1312*(1/150)</f>
        <v>8.7466666666666679</v>
      </c>
      <c r="C14">
        <f>1573*(1/150)</f>
        <v>10.486666666666668</v>
      </c>
      <c r="D14">
        <f>1287*(1/150)</f>
        <v>8.58</v>
      </c>
      <c r="E14">
        <f>1142*(1/150)</f>
        <v>7.6133333333333342</v>
      </c>
      <c r="F14">
        <f>1166*(1/150)</f>
        <v>7.7733333333333334</v>
      </c>
      <c r="G14">
        <f>946*(1/150)</f>
        <v>6.3066666666666666</v>
      </c>
      <c r="H14">
        <f>972*(1/150)</f>
        <v>6.48</v>
      </c>
      <c r="I14">
        <f>863*(1/150)</f>
        <v>5.7533333333333339</v>
      </c>
      <c r="J14">
        <f>914*(1/150)</f>
        <v>6.0933333333333337</v>
      </c>
      <c r="K14">
        <v>8.6999999999999993</v>
      </c>
      <c r="L14">
        <v>2</v>
      </c>
      <c r="M14">
        <v>16</v>
      </c>
      <c r="N14" t="s">
        <v>15</v>
      </c>
      <c r="O14" t="s">
        <v>22</v>
      </c>
      <c r="P14">
        <v>2</v>
      </c>
    </row>
    <row r="15" spans="1:16" x14ac:dyDescent="0.35">
      <c r="A15">
        <f>0*(1/150)</f>
        <v>0</v>
      </c>
      <c r="B15">
        <f>22*(1/150)</f>
        <v>0.14666666666666667</v>
      </c>
      <c r="C15">
        <f t="shared" ref="C15:J16" si="3">0*(1/150)</f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v>8.6999999999999993</v>
      </c>
      <c r="L15">
        <v>2</v>
      </c>
      <c r="M15">
        <v>16</v>
      </c>
      <c r="N15" t="s">
        <v>15</v>
      </c>
      <c r="O15" t="s">
        <v>18</v>
      </c>
      <c r="P15">
        <v>3</v>
      </c>
    </row>
    <row r="16" spans="1:16" x14ac:dyDescent="0.35">
      <c r="A16">
        <f>699*(1/150)</f>
        <v>4.66</v>
      </c>
      <c r="B16">
        <f>109*(1/150)</f>
        <v>0.72666666666666668</v>
      </c>
      <c r="C16">
        <f t="shared" si="3"/>
        <v>0</v>
      </c>
      <c r="D16">
        <f t="shared" si="3"/>
        <v>0</v>
      </c>
      <c r="E16">
        <f t="shared" si="3"/>
        <v>0</v>
      </c>
      <c r="F16">
        <f t="shared" si="3"/>
        <v>0</v>
      </c>
      <c r="G16">
        <f t="shared" si="3"/>
        <v>0</v>
      </c>
      <c r="H16">
        <f t="shared" si="3"/>
        <v>0</v>
      </c>
      <c r="I16">
        <f t="shared" si="3"/>
        <v>0</v>
      </c>
      <c r="J16">
        <f t="shared" si="3"/>
        <v>0</v>
      </c>
      <c r="K16">
        <v>8.6999999999999993</v>
      </c>
      <c r="L16">
        <v>2</v>
      </c>
      <c r="M16">
        <v>16</v>
      </c>
      <c r="N16" t="s">
        <v>15</v>
      </c>
      <c r="O16" t="s">
        <v>19</v>
      </c>
      <c r="P16">
        <v>4</v>
      </c>
    </row>
    <row r="17" spans="1:16" x14ac:dyDescent="0.35">
      <c r="A17">
        <f>0*(1/150)</f>
        <v>0</v>
      </c>
      <c r="B17">
        <f>0*(1/150)</f>
        <v>0</v>
      </c>
      <c r="C17">
        <f>18*(1/150)</f>
        <v>0.12000000000000001</v>
      </c>
      <c r="D17">
        <f>148*(1/150)</f>
        <v>0.98666666666666669</v>
      </c>
      <c r="E17">
        <f>277*(1/150)</f>
        <v>1.8466666666666667</v>
      </c>
      <c r="F17">
        <f>329*(1/150)</f>
        <v>2.1933333333333334</v>
      </c>
      <c r="G17">
        <f>382*(1/150)</f>
        <v>2.5466666666666669</v>
      </c>
      <c r="H17">
        <f>438*(1/150)</f>
        <v>2.9200000000000004</v>
      </c>
      <c r="I17">
        <f>402*(1/150)</f>
        <v>2.68</v>
      </c>
      <c r="J17">
        <f>487*(1/150)</f>
        <v>3.246666666666667</v>
      </c>
      <c r="K17">
        <v>8.6999999999999993</v>
      </c>
      <c r="L17">
        <v>2</v>
      </c>
      <c r="M17">
        <v>39.5</v>
      </c>
      <c r="N17" t="s">
        <v>15</v>
      </c>
      <c r="O17" t="s">
        <v>16</v>
      </c>
      <c r="P17">
        <v>0</v>
      </c>
    </row>
    <row r="18" spans="1:16" x14ac:dyDescent="0.35">
      <c r="A18">
        <f>0*(1/150)</f>
        <v>0</v>
      </c>
      <c r="B18">
        <f>9*(1/150)</f>
        <v>6.0000000000000005E-2</v>
      </c>
      <c r="C18">
        <f>506*(1/150)</f>
        <v>3.3733333333333335</v>
      </c>
      <c r="D18">
        <f>641*(1/150)</f>
        <v>4.2733333333333334</v>
      </c>
      <c r="E18">
        <f>650*(1/150)</f>
        <v>4.3333333333333339</v>
      </c>
      <c r="F18">
        <f>710*(1/150)</f>
        <v>4.7333333333333334</v>
      </c>
      <c r="G18">
        <f>604*(1/150)</f>
        <v>4.0266666666666673</v>
      </c>
      <c r="H18">
        <f>696*(1/150)</f>
        <v>4.6400000000000006</v>
      </c>
      <c r="I18">
        <f>613*(1/150)</f>
        <v>4.0866666666666669</v>
      </c>
      <c r="J18">
        <f>668*(1/150)</f>
        <v>4.453333333333334</v>
      </c>
      <c r="K18">
        <v>8.6999999999999993</v>
      </c>
      <c r="L18">
        <v>2</v>
      </c>
      <c r="M18">
        <v>39.5</v>
      </c>
      <c r="N18" t="s">
        <v>15</v>
      </c>
      <c r="O18" t="s">
        <v>17</v>
      </c>
      <c r="P18">
        <v>1</v>
      </c>
    </row>
    <row r="19" spans="1:16" x14ac:dyDescent="0.35">
      <c r="A19">
        <f>229*(1/150)</f>
        <v>1.5266666666666668</v>
      </c>
      <c r="B19">
        <f>1215*(1/150)</f>
        <v>8.1</v>
      </c>
      <c r="C19">
        <f>1124*(1/150)</f>
        <v>7.4933333333333341</v>
      </c>
      <c r="D19">
        <f>704*(1/150)</f>
        <v>4.6933333333333334</v>
      </c>
      <c r="E19">
        <f>557*(1/150)</f>
        <v>3.7133333333333334</v>
      </c>
      <c r="F19">
        <f>591*(1/150)</f>
        <v>3.9400000000000004</v>
      </c>
      <c r="G19">
        <f>499*(1/150)</f>
        <v>3.3266666666666667</v>
      </c>
      <c r="H19">
        <f>510*(1/150)</f>
        <v>3.4000000000000004</v>
      </c>
      <c r="I19">
        <f>479*(1/150)</f>
        <v>3.1933333333333334</v>
      </c>
      <c r="J19">
        <f>479*(1/150)</f>
        <v>3.1933333333333334</v>
      </c>
      <c r="K19">
        <v>8.6999999999999993</v>
      </c>
      <c r="L19">
        <v>2</v>
      </c>
      <c r="M19">
        <v>39.5</v>
      </c>
      <c r="N19" t="s">
        <v>15</v>
      </c>
      <c r="O19" t="s">
        <v>22</v>
      </c>
      <c r="P19">
        <v>2</v>
      </c>
    </row>
    <row r="20" spans="1:16" x14ac:dyDescent="0.35">
      <c r="A20">
        <f>46*(1/150)</f>
        <v>0.3066666666666667</v>
      </c>
      <c r="B20">
        <f t="shared" ref="B20:J20" si="4">0*(1/150)</f>
        <v>0</v>
      </c>
      <c r="C20">
        <f t="shared" si="4"/>
        <v>0</v>
      </c>
      <c r="D20">
        <f t="shared" si="4"/>
        <v>0</v>
      </c>
      <c r="E20">
        <f t="shared" si="4"/>
        <v>0</v>
      </c>
      <c r="F20">
        <f t="shared" si="4"/>
        <v>0</v>
      </c>
      <c r="G20">
        <f t="shared" si="4"/>
        <v>0</v>
      </c>
      <c r="H20">
        <f t="shared" si="4"/>
        <v>0</v>
      </c>
      <c r="I20">
        <f t="shared" si="4"/>
        <v>0</v>
      </c>
      <c r="J20">
        <f t="shared" si="4"/>
        <v>0</v>
      </c>
      <c r="K20">
        <v>8.6999999999999993</v>
      </c>
      <c r="L20">
        <v>2</v>
      </c>
      <c r="M20">
        <v>39.5</v>
      </c>
      <c r="N20" t="s">
        <v>15</v>
      </c>
      <c r="O20" t="s">
        <v>18</v>
      </c>
      <c r="P20">
        <v>3</v>
      </c>
    </row>
    <row r="21" spans="1:16" x14ac:dyDescent="0.35">
      <c r="A21">
        <f>667*(1/150)</f>
        <v>4.4466666666666672</v>
      </c>
      <c r="B21">
        <f>182*(1/150)</f>
        <v>1.2133333333333334</v>
      </c>
      <c r="C21">
        <f t="shared" ref="C21:J21" si="5">0*(1/150)</f>
        <v>0</v>
      </c>
      <c r="D21">
        <f t="shared" si="5"/>
        <v>0</v>
      </c>
      <c r="E21">
        <f t="shared" si="5"/>
        <v>0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0</v>
      </c>
      <c r="J21">
        <f t="shared" si="5"/>
        <v>0</v>
      </c>
      <c r="K21">
        <v>8.6999999999999993</v>
      </c>
      <c r="L21">
        <v>2</v>
      </c>
      <c r="M21">
        <v>39.5</v>
      </c>
      <c r="N21" t="s">
        <v>15</v>
      </c>
      <c r="O21" t="s">
        <v>19</v>
      </c>
      <c r="P21">
        <v>4</v>
      </c>
    </row>
    <row r="22" spans="1:16" x14ac:dyDescent="0.35">
      <c r="A22">
        <f>0*(1/150)</f>
        <v>0</v>
      </c>
      <c r="B22">
        <f>185*(1/150)</f>
        <v>1.2333333333333334</v>
      </c>
      <c r="C22">
        <f>263*(1/150)</f>
        <v>1.7533333333333334</v>
      </c>
      <c r="D22">
        <f>274*(1/150)</f>
        <v>1.8266666666666669</v>
      </c>
      <c r="E22">
        <f>258*(1/150)</f>
        <v>1.7200000000000002</v>
      </c>
      <c r="F22">
        <f>278*(1/150)</f>
        <v>1.8533333333333335</v>
      </c>
      <c r="G22">
        <f>231*(1/150)</f>
        <v>1.54</v>
      </c>
      <c r="H22">
        <f>291*(1/150)</f>
        <v>1.9400000000000002</v>
      </c>
      <c r="I22">
        <f>266*(1/150)</f>
        <v>1.7733333333333334</v>
      </c>
      <c r="J22">
        <f>270*(1/150)</f>
        <v>1.8</v>
      </c>
      <c r="K22">
        <v>8.6999999999999993</v>
      </c>
      <c r="L22">
        <v>19.2</v>
      </c>
      <c r="M22">
        <v>16</v>
      </c>
      <c r="N22" t="s">
        <v>20</v>
      </c>
      <c r="O22" t="s">
        <v>16</v>
      </c>
      <c r="P22">
        <v>0</v>
      </c>
    </row>
    <row r="23" spans="1:16" x14ac:dyDescent="0.35">
      <c r="A23">
        <f>0*(1/150)</f>
        <v>0</v>
      </c>
      <c r="B23">
        <f>572*(1/150)</f>
        <v>3.8133333333333335</v>
      </c>
      <c r="C23">
        <f>846*(1/150)</f>
        <v>5.6400000000000006</v>
      </c>
      <c r="D23">
        <f>785*(1/150)</f>
        <v>5.2333333333333334</v>
      </c>
      <c r="E23">
        <f>779*(1/150)</f>
        <v>5.1933333333333334</v>
      </c>
      <c r="F23">
        <f>877*(1/150)</f>
        <v>5.8466666666666667</v>
      </c>
      <c r="G23">
        <f>801*(1/150)</f>
        <v>5.3400000000000007</v>
      </c>
      <c r="H23">
        <f>849*(1/150)</f>
        <v>5.66</v>
      </c>
      <c r="I23">
        <f>758*(1/150)</f>
        <v>5.0533333333333337</v>
      </c>
      <c r="J23">
        <f>846*(1/150)</f>
        <v>5.6400000000000006</v>
      </c>
      <c r="K23">
        <v>8.6999999999999993</v>
      </c>
      <c r="L23">
        <v>19.2</v>
      </c>
      <c r="M23">
        <v>16</v>
      </c>
      <c r="N23" t="s">
        <v>20</v>
      </c>
      <c r="O23" t="s">
        <v>17</v>
      </c>
      <c r="P23">
        <v>1</v>
      </c>
    </row>
    <row r="24" spans="1:16" x14ac:dyDescent="0.35">
      <c r="A24">
        <f>183*(1/150)</f>
        <v>1.22</v>
      </c>
      <c r="B24">
        <f>456*(1/150)</f>
        <v>3.04</v>
      </c>
      <c r="C24">
        <f>541*(1/150)</f>
        <v>3.6066666666666669</v>
      </c>
      <c r="D24">
        <f>441*(1/150)</f>
        <v>2.9400000000000004</v>
      </c>
      <c r="E24">
        <f>463*(1/150)</f>
        <v>3.0866666666666669</v>
      </c>
      <c r="F24">
        <f>495*(1/150)</f>
        <v>3.3000000000000003</v>
      </c>
      <c r="G24">
        <f>468*(1/150)</f>
        <v>3.12</v>
      </c>
      <c r="H24">
        <f>510*(1/150)</f>
        <v>3.4000000000000004</v>
      </c>
      <c r="I24">
        <f>476*(1/150)</f>
        <v>3.1733333333333333</v>
      </c>
      <c r="J24">
        <f>534*(1/150)</f>
        <v>3.56</v>
      </c>
      <c r="K24">
        <v>8.6999999999999993</v>
      </c>
      <c r="L24">
        <v>19.2</v>
      </c>
      <c r="M24">
        <v>16</v>
      </c>
      <c r="N24" t="s">
        <v>20</v>
      </c>
      <c r="O24" t="s">
        <v>22</v>
      </c>
      <c r="P24">
        <v>2</v>
      </c>
    </row>
    <row r="25" spans="1:16" x14ac:dyDescent="0.35">
      <c r="A25">
        <f>10*(1/150)</f>
        <v>6.6666666666666666E-2</v>
      </c>
      <c r="B25">
        <f>15*(1/150)</f>
        <v>0.1</v>
      </c>
      <c r="C25">
        <f t="shared" ref="C25:J26" si="6">0*(1/150)</f>
        <v>0</v>
      </c>
      <c r="D25">
        <f t="shared" si="6"/>
        <v>0</v>
      </c>
      <c r="E25">
        <f t="shared" si="6"/>
        <v>0</v>
      </c>
      <c r="F25">
        <f t="shared" si="6"/>
        <v>0</v>
      </c>
      <c r="G25">
        <f t="shared" si="6"/>
        <v>0</v>
      </c>
      <c r="H25">
        <f t="shared" si="6"/>
        <v>0</v>
      </c>
      <c r="I25">
        <f t="shared" si="6"/>
        <v>0</v>
      </c>
      <c r="J25">
        <f t="shared" si="6"/>
        <v>0</v>
      </c>
      <c r="K25">
        <v>8.6999999999999993</v>
      </c>
      <c r="L25">
        <v>19.2</v>
      </c>
      <c r="M25">
        <v>16</v>
      </c>
      <c r="N25" t="s">
        <v>20</v>
      </c>
      <c r="O25" t="s">
        <v>18</v>
      </c>
      <c r="P25">
        <v>3</v>
      </c>
    </row>
    <row r="26" spans="1:16" x14ac:dyDescent="0.35">
      <c r="A26">
        <f>679*(1/150)</f>
        <v>4.5266666666666673</v>
      </c>
      <c r="B26">
        <f>139*(1/150)</f>
        <v>0.92666666666666675</v>
      </c>
      <c r="C26">
        <f t="shared" si="6"/>
        <v>0</v>
      </c>
      <c r="D26">
        <f t="shared" si="6"/>
        <v>0</v>
      </c>
      <c r="E26">
        <f t="shared" si="6"/>
        <v>0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  <c r="K26">
        <v>8.6999999999999993</v>
      </c>
      <c r="L26">
        <v>19.2</v>
      </c>
      <c r="M26">
        <v>16</v>
      </c>
      <c r="N26" t="s">
        <v>20</v>
      </c>
      <c r="O26" t="s">
        <v>19</v>
      </c>
      <c r="P26">
        <v>4</v>
      </c>
    </row>
    <row r="27" spans="1:16" x14ac:dyDescent="0.35">
      <c r="A27">
        <f>24*(1/150)</f>
        <v>0.16</v>
      </c>
      <c r="B27">
        <f>607*(1/150)</f>
        <v>4.0466666666666669</v>
      </c>
      <c r="C27">
        <f>807*(1/150)</f>
        <v>5.3800000000000008</v>
      </c>
      <c r="D27">
        <f>725*(1/150)</f>
        <v>4.8333333333333339</v>
      </c>
      <c r="E27">
        <f>745*(1/150)</f>
        <v>4.9666666666666668</v>
      </c>
      <c r="F27">
        <f>831*(1/150)</f>
        <v>5.54</v>
      </c>
      <c r="G27">
        <f>715*(1/150)</f>
        <v>4.7666666666666666</v>
      </c>
      <c r="H27">
        <f>791*(1/150)</f>
        <v>5.2733333333333334</v>
      </c>
      <c r="I27">
        <f>745*(1/150)</f>
        <v>4.9666666666666668</v>
      </c>
      <c r="J27">
        <f>797*(1/150)</f>
        <v>5.3133333333333335</v>
      </c>
      <c r="K27">
        <v>8.6999999999999993</v>
      </c>
      <c r="L27">
        <v>19.2</v>
      </c>
      <c r="M27">
        <v>39.5</v>
      </c>
      <c r="N27" t="s">
        <v>20</v>
      </c>
      <c r="O27" t="s">
        <v>16</v>
      </c>
      <c r="P27">
        <v>0</v>
      </c>
    </row>
    <row r="28" spans="1:16" x14ac:dyDescent="0.35">
      <c r="A28">
        <f>0*(1/150)</f>
        <v>0</v>
      </c>
      <c r="B28">
        <f>373*(1/150)</f>
        <v>2.4866666666666668</v>
      </c>
      <c r="C28">
        <f>502*(1/150)</f>
        <v>3.3466666666666667</v>
      </c>
      <c r="D28">
        <f>438*(1/150)</f>
        <v>2.9200000000000004</v>
      </c>
      <c r="E28">
        <f>476*(1/150)</f>
        <v>3.1733333333333333</v>
      </c>
      <c r="F28">
        <f>487*(1/150)</f>
        <v>3.246666666666667</v>
      </c>
      <c r="G28">
        <f>460*(1/150)</f>
        <v>3.0666666666666669</v>
      </c>
      <c r="H28">
        <f>503*(1/150)</f>
        <v>3.3533333333333335</v>
      </c>
      <c r="I28">
        <f>449*(1/150)</f>
        <v>2.9933333333333336</v>
      </c>
      <c r="J28">
        <f>503*(1/150)</f>
        <v>3.3533333333333335</v>
      </c>
      <c r="K28">
        <v>8.6999999999999993</v>
      </c>
      <c r="L28">
        <v>19.2</v>
      </c>
      <c r="M28">
        <v>39.5</v>
      </c>
      <c r="N28" t="s">
        <v>20</v>
      </c>
      <c r="O28" t="s">
        <v>17</v>
      </c>
      <c r="P28">
        <v>1</v>
      </c>
    </row>
    <row r="29" spans="1:16" x14ac:dyDescent="0.35">
      <c r="A29">
        <f>95*(1/150)</f>
        <v>0.63333333333333341</v>
      </c>
      <c r="B29">
        <f>269*(1/150)</f>
        <v>1.7933333333333334</v>
      </c>
      <c r="C29">
        <f>332*(1/150)</f>
        <v>2.2133333333333334</v>
      </c>
      <c r="D29">
        <f>334*(1/150)</f>
        <v>2.226666666666667</v>
      </c>
      <c r="E29">
        <f>277*(1/150)</f>
        <v>1.8466666666666667</v>
      </c>
      <c r="F29">
        <f>329*(1/150)</f>
        <v>2.1933333333333334</v>
      </c>
      <c r="G29">
        <f>322*(1/150)</f>
        <v>2.1466666666666669</v>
      </c>
      <c r="H29">
        <f>355*(1/150)</f>
        <v>2.3666666666666667</v>
      </c>
      <c r="I29">
        <f>298*(1/150)</f>
        <v>1.9866666666666668</v>
      </c>
      <c r="J29">
        <f>347*(1/150)</f>
        <v>2.3133333333333335</v>
      </c>
      <c r="K29">
        <v>8.6999999999999993</v>
      </c>
      <c r="L29">
        <v>19.2</v>
      </c>
      <c r="M29">
        <v>39.5</v>
      </c>
      <c r="N29" t="s">
        <v>20</v>
      </c>
      <c r="O29" t="s">
        <v>22</v>
      </c>
      <c r="P29">
        <v>2</v>
      </c>
    </row>
    <row r="30" spans="1:16" x14ac:dyDescent="0.35">
      <c r="A30">
        <f>14*(1/150)</f>
        <v>9.3333333333333338E-2</v>
      </c>
      <c r="B30">
        <f>8*(1/150)</f>
        <v>5.3333333333333337E-2</v>
      </c>
      <c r="C30">
        <f t="shared" ref="C30:J31" si="7">0*(1/150)</f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v>8.6999999999999993</v>
      </c>
      <c r="L30">
        <v>19.2</v>
      </c>
      <c r="M30">
        <v>39.5</v>
      </c>
      <c r="N30" t="s">
        <v>20</v>
      </c>
      <c r="O30" t="s">
        <v>18</v>
      </c>
      <c r="P30">
        <v>3</v>
      </c>
    </row>
    <row r="31" spans="1:16" x14ac:dyDescent="0.35">
      <c r="A31">
        <f>750*(1/150)</f>
        <v>5</v>
      </c>
      <c r="B31">
        <f>176*(1/150)</f>
        <v>1.1733333333333333</v>
      </c>
      <c r="C31">
        <f t="shared" si="7"/>
        <v>0</v>
      </c>
      <c r="D31">
        <f t="shared" si="7"/>
        <v>0</v>
      </c>
      <c r="E31">
        <f t="shared" si="7"/>
        <v>0</v>
      </c>
      <c r="F31">
        <f t="shared" si="7"/>
        <v>0</v>
      </c>
      <c r="G31">
        <f t="shared" si="7"/>
        <v>0</v>
      </c>
      <c r="H31">
        <f t="shared" si="7"/>
        <v>0</v>
      </c>
      <c r="I31">
        <f t="shared" si="7"/>
        <v>0</v>
      </c>
      <c r="J31">
        <f t="shared" si="7"/>
        <v>0</v>
      </c>
      <c r="K31">
        <v>8.6999999999999993</v>
      </c>
      <c r="L31">
        <v>19.2</v>
      </c>
      <c r="M31">
        <v>39.5</v>
      </c>
      <c r="N31" t="s">
        <v>20</v>
      </c>
      <c r="O31" t="s">
        <v>19</v>
      </c>
      <c r="P31">
        <v>4</v>
      </c>
    </row>
    <row r="32" spans="1:16" s="3" customFormat="1" x14ac:dyDescent="0.35">
      <c r="A32">
        <f>0*(1/150)</f>
        <v>0</v>
      </c>
      <c r="B32">
        <f>0*(1/150)</f>
        <v>0</v>
      </c>
      <c r="C32">
        <f>0*(1/150)</f>
        <v>0</v>
      </c>
      <c r="D32">
        <f>0*(1/150)</f>
        <v>0</v>
      </c>
      <c r="E32">
        <f>17*(1/150)</f>
        <v>0.11333333333333334</v>
      </c>
      <c r="F32">
        <f>70*(1/150)</f>
        <v>0.46666666666666667</v>
      </c>
      <c r="G32">
        <f>82*(1/150)</f>
        <v>0.54666666666666675</v>
      </c>
      <c r="H32">
        <f>140*(1/150)</f>
        <v>0.93333333333333335</v>
      </c>
      <c r="I32">
        <f>166*(1/150)</f>
        <v>1.1066666666666667</v>
      </c>
      <c r="J32">
        <f>174*(1/150)</f>
        <v>1.1600000000000001</v>
      </c>
      <c r="K32">
        <v>8.6999999999999993</v>
      </c>
      <c r="L32">
        <v>2</v>
      </c>
      <c r="M32">
        <v>16</v>
      </c>
      <c r="N32" t="s">
        <v>20</v>
      </c>
      <c r="O32" t="s">
        <v>16</v>
      </c>
      <c r="P32">
        <v>0</v>
      </c>
    </row>
    <row r="33" spans="1:16" s="3" customFormat="1" x14ac:dyDescent="0.35">
      <c r="A33">
        <f>0*(1/150)</f>
        <v>0</v>
      </c>
      <c r="B33">
        <f>0*(1/150)</f>
        <v>0</v>
      </c>
      <c r="C33">
        <f>0*(1/150)</f>
        <v>0</v>
      </c>
      <c r="D33">
        <f>226*(1/150)</f>
        <v>1.5066666666666668</v>
      </c>
      <c r="E33">
        <f>518*(1/150)</f>
        <v>3.4533333333333336</v>
      </c>
      <c r="F33">
        <f>749*(1/150)</f>
        <v>4.9933333333333341</v>
      </c>
      <c r="G33">
        <f>714*(1/150)</f>
        <v>4.7600000000000007</v>
      </c>
      <c r="H33">
        <f>795*(1/150)</f>
        <v>5.3000000000000007</v>
      </c>
      <c r="I33">
        <f>743*(1/150)</f>
        <v>4.953333333333334</v>
      </c>
      <c r="J33">
        <f>818*(1/150)</f>
        <v>5.453333333333334</v>
      </c>
      <c r="K33">
        <v>8.6999999999999993</v>
      </c>
      <c r="L33">
        <v>2</v>
      </c>
      <c r="M33">
        <v>16</v>
      </c>
      <c r="N33" t="s">
        <v>20</v>
      </c>
      <c r="O33" t="s">
        <v>17</v>
      </c>
      <c r="P33">
        <v>1</v>
      </c>
    </row>
    <row r="34" spans="1:16" s="3" customFormat="1" x14ac:dyDescent="0.35">
      <c r="A34">
        <f>481*(1/150)</f>
        <v>3.206666666666667</v>
      </c>
      <c r="B34">
        <f>1377*(1/150)</f>
        <v>9.18</v>
      </c>
      <c r="C34">
        <f>1650*(1/150)</f>
        <v>11</v>
      </c>
      <c r="D34">
        <f>1274*(1/150)</f>
        <v>8.4933333333333341</v>
      </c>
      <c r="E34">
        <f>965*(1/150)</f>
        <v>6.4333333333333336</v>
      </c>
      <c r="F34">
        <f>831*(1/150)</f>
        <v>5.54</v>
      </c>
      <c r="G34">
        <f>704*(1/150)</f>
        <v>4.6933333333333334</v>
      </c>
      <c r="H34">
        <f>715*(1/150)</f>
        <v>4.7666666666666666</v>
      </c>
      <c r="I34">
        <f>591*(1/150)</f>
        <v>3.9400000000000004</v>
      </c>
      <c r="J34">
        <f>658*(1/150)</f>
        <v>4.3866666666666667</v>
      </c>
      <c r="K34">
        <v>8.6999999999999993</v>
      </c>
      <c r="L34">
        <v>2</v>
      </c>
      <c r="M34">
        <v>16</v>
      </c>
      <c r="N34" t="s">
        <v>20</v>
      </c>
      <c r="O34" t="s">
        <v>22</v>
      </c>
      <c r="P34">
        <v>2</v>
      </c>
    </row>
    <row r="35" spans="1:16" s="3" customFormat="1" x14ac:dyDescent="0.35">
      <c r="A35">
        <f>15*(1/150)</f>
        <v>0.1</v>
      </c>
      <c r="B35">
        <f t="shared" ref="B35:J35" si="8">0*(1/150)</f>
        <v>0</v>
      </c>
      <c r="C35">
        <f t="shared" si="8"/>
        <v>0</v>
      </c>
      <c r="D35">
        <f t="shared" si="8"/>
        <v>0</v>
      </c>
      <c r="E35">
        <f t="shared" si="8"/>
        <v>0</v>
      </c>
      <c r="F35">
        <f t="shared" si="8"/>
        <v>0</v>
      </c>
      <c r="G35">
        <f t="shared" si="8"/>
        <v>0</v>
      </c>
      <c r="H35">
        <f t="shared" si="8"/>
        <v>0</v>
      </c>
      <c r="I35">
        <f t="shared" si="8"/>
        <v>0</v>
      </c>
      <c r="J35">
        <f t="shared" si="8"/>
        <v>0</v>
      </c>
      <c r="K35">
        <v>8.6999999999999993</v>
      </c>
      <c r="L35">
        <v>2</v>
      </c>
      <c r="M35">
        <v>16</v>
      </c>
      <c r="N35" t="s">
        <v>20</v>
      </c>
      <c r="O35" t="s">
        <v>18</v>
      </c>
      <c r="P35">
        <v>3</v>
      </c>
    </row>
    <row r="36" spans="1:16" s="3" customFormat="1" x14ac:dyDescent="0.35">
      <c r="A36">
        <f>413*(1/150)</f>
        <v>2.7533333333333334</v>
      </c>
      <c r="B36">
        <f>28*(1/150)</f>
        <v>0.18666666666666668</v>
      </c>
      <c r="C36">
        <f t="shared" ref="C36:J36" si="9">0*(1/150)</f>
        <v>0</v>
      </c>
      <c r="D36">
        <f t="shared" si="9"/>
        <v>0</v>
      </c>
      <c r="E36">
        <f t="shared" si="9"/>
        <v>0</v>
      </c>
      <c r="F36">
        <f t="shared" si="9"/>
        <v>0</v>
      </c>
      <c r="G36">
        <f t="shared" si="9"/>
        <v>0</v>
      </c>
      <c r="H36">
        <f t="shared" si="9"/>
        <v>0</v>
      </c>
      <c r="I36">
        <f t="shared" si="9"/>
        <v>0</v>
      </c>
      <c r="J36">
        <f t="shared" si="9"/>
        <v>0</v>
      </c>
      <c r="K36">
        <v>8.6999999999999993</v>
      </c>
      <c r="L36">
        <v>2</v>
      </c>
      <c r="M36">
        <v>16</v>
      </c>
      <c r="N36" t="s">
        <v>20</v>
      </c>
      <c r="O36" t="s">
        <v>19</v>
      </c>
      <c r="P36">
        <v>4</v>
      </c>
    </row>
    <row r="37" spans="1:16" x14ac:dyDescent="0.35">
      <c r="A37">
        <f>0*(1/150)</f>
        <v>0</v>
      </c>
      <c r="B37">
        <f>0*(1/150)</f>
        <v>0</v>
      </c>
      <c r="C37">
        <f>56*(1/150)</f>
        <v>0.37333333333333335</v>
      </c>
      <c r="D37">
        <f>292*(1/150)</f>
        <v>1.9466666666666668</v>
      </c>
      <c r="E37">
        <f>393*(1/150)</f>
        <v>2.62</v>
      </c>
      <c r="F37">
        <f>518*(1/150)</f>
        <v>3.4533333333333336</v>
      </c>
      <c r="G37">
        <f>501*(1/150)</f>
        <v>3.3400000000000003</v>
      </c>
      <c r="H37">
        <f>608*(1/150)</f>
        <v>4.0533333333333337</v>
      </c>
      <c r="I37">
        <f>606*(1/150)</f>
        <v>4.04</v>
      </c>
      <c r="J37">
        <f>643*(1/150)</f>
        <v>4.2866666666666671</v>
      </c>
      <c r="K37">
        <v>8.6999999999999993</v>
      </c>
      <c r="L37">
        <v>2</v>
      </c>
      <c r="M37">
        <v>39.5</v>
      </c>
      <c r="N37" t="s">
        <v>20</v>
      </c>
      <c r="O37" t="s">
        <v>16</v>
      </c>
      <c r="P37">
        <v>0</v>
      </c>
    </row>
    <row r="38" spans="1:16" x14ac:dyDescent="0.35">
      <c r="A38">
        <f>0*(1/150)</f>
        <v>0</v>
      </c>
      <c r="B38">
        <f>0*(1/150)</f>
        <v>0</v>
      </c>
      <c r="C38">
        <f>369*(1/150)</f>
        <v>2.46</v>
      </c>
      <c r="D38">
        <f>547*(1/150)</f>
        <v>3.6466666666666669</v>
      </c>
      <c r="E38">
        <f>621*(1/150)</f>
        <v>4.1400000000000006</v>
      </c>
      <c r="F38">
        <f>637*(1/150)</f>
        <v>4.246666666666667</v>
      </c>
      <c r="G38">
        <f>568*(1/150)</f>
        <v>3.7866666666666671</v>
      </c>
      <c r="H38">
        <f>580*(1/150)</f>
        <v>3.8666666666666667</v>
      </c>
      <c r="I38">
        <f>520*(1/150)</f>
        <v>3.4666666666666668</v>
      </c>
      <c r="J38">
        <f>589*(1/150)</f>
        <v>3.9266666666666667</v>
      </c>
      <c r="K38">
        <v>8.6999999999999993</v>
      </c>
      <c r="L38">
        <v>2</v>
      </c>
      <c r="M38">
        <v>39.5</v>
      </c>
      <c r="N38" t="s">
        <v>20</v>
      </c>
      <c r="O38" t="s">
        <v>17</v>
      </c>
      <c r="P38">
        <v>1</v>
      </c>
    </row>
    <row r="39" spans="1:16" x14ac:dyDescent="0.35">
      <c r="A39">
        <f>412*(1/150)</f>
        <v>2.746666666666667</v>
      </c>
      <c r="B39">
        <f>1258*(1/150)</f>
        <v>8.3866666666666667</v>
      </c>
      <c r="C39">
        <f>1224*(1/150)</f>
        <v>8.16</v>
      </c>
      <c r="D39">
        <f>661*(1/150)</f>
        <v>4.4066666666666672</v>
      </c>
      <c r="E39">
        <f>483*(1/150)</f>
        <v>3.22</v>
      </c>
      <c r="F39">
        <f>486*(1/150)</f>
        <v>3.24</v>
      </c>
      <c r="G39">
        <f>418*(1/150)</f>
        <v>2.7866666666666666</v>
      </c>
      <c r="H39">
        <f>457*(1/150)</f>
        <v>3.0466666666666669</v>
      </c>
      <c r="I39">
        <f>369*(1/150)</f>
        <v>2.46</v>
      </c>
      <c r="J39">
        <f>415*(1/150)</f>
        <v>2.7666666666666671</v>
      </c>
      <c r="K39">
        <v>8.6999999999999993</v>
      </c>
      <c r="L39">
        <v>2</v>
      </c>
      <c r="M39">
        <v>39.5</v>
      </c>
      <c r="N39" t="s">
        <v>20</v>
      </c>
      <c r="O39" t="s">
        <v>22</v>
      </c>
      <c r="P39">
        <v>2</v>
      </c>
    </row>
    <row r="40" spans="1:16" x14ac:dyDescent="0.35">
      <c r="A40">
        <f>15*(1/150)</f>
        <v>0.1</v>
      </c>
      <c r="B40">
        <f t="shared" ref="B40:J40" si="10">0*(1/150)</f>
        <v>0</v>
      </c>
      <c r="C40">
        <f t="shared" si="10"/>
        <v>0</v>
      </c>
      <c r="D40">
        <f t="shared" si="10"/>
        <v>0</v>
      </c>
      <c r="E40">
        <f t="shared" si="10"/>
        <v>0</v>
      </c>
      <c r="F40">
        <f t="shared" si="10"/>
        <v>0</v>
      </c>
      <c r="G40">
        <f t="shared" si="10"/>
        <v>0</v>
      </c>
      <c r="H40">
        <f t="shared" si="10"/>
        <v>0</v>
      </c>
      <c r="I40">
        <f t="shared" si="10"/>
        <v>0</v>
      </c>
      <c r="J40">
        <f t="shared" si="10"/>
        <v>0</v>
      </c>
      <c r="K40">
        <v>8.6999999999999993</v>
      </c>
      <c r="L40">
        <v>2</v>
      </c>
      <c r="M40">
        <v>39.5</v>
      </c>
      <c r="N40" t="s">
        <v>20</v>
      </c>
      <c r="O40" t="s">
        <v>18</v>
      </c>
      <c r="P40">
        <v>3</v>
      </c>
    </row>
    <row r="41" spans="1:16" x14ac:dyDescent="0.35">
      <c r="A41">
        <f>470*(1/150)</f>
        <v>3.1333333333333337</v>
      </c>
      <c r="B41">
        <f>58*(1/150)</f>
        <v>0.38666666666666671</v>
      </c>
      <c r="C41">
        <f t="shared" ref="C41:J41" si="11">0*(1/150)</f>
        <v>0</v>
      </c>
      <c r="D41">
        <f t="shared" si="11"/>
        <v>0</v>
      </c>
      <c r="E41">
        <f t="shared" si="11"/>
        <v>0</v>
      </c>
      <c r="F41">
        <f t="shared" si="11"/>
        <v>0</v>
      </c>
      <c r="G41">
        <f t="shared" si="11"/>
        <v>0</v>
      </c>
      <c r="H41">
        <f t="shared" si="11"/>
        <v>0</v>
      </c>
      <c r="I41">
        <f t="shared" si="11"/>
        <v>0</v>
      </c>
      <c r="J41">
        <f t="shared" si="11"/>
        <v>0</v>
      </c>
      <c r="K41">
        <v>8.6999999999999993</v>
      </c>
      <c r="L41">
        <v>2</v>
      </c>
      <c r="M41">
        <v>39.5</v>
      </c>
      <c r="N41" t="s">
        <v>20</v>
      </c>
      <c r="O41" t="s">
        <v>19</v>
      </c>
      <c r="P41">
        <v>4</v>
      </c>
    </row>
    <row r="42" spans="1:16" s="1" customFormat="1" x14ac:dyDescent="0.35">
      <c r="A42">
        <f>0*(1/150)</f>
        <v>0</v>
      </c>
      <c r="B42">
        <f>0*(1/150)</f>
        <v>0</v>
      </c>
      <c r="C42">
        <f>18*(1/150)</f>
        <v>0.12000000000000001</v>
      </c>
      <c r="D42">
        <f>24*(1/150)</f>
        <v>0.16</v>
      </c>
      <c r="E42">
        <f>33*(1/150)</f>
        <v>0.22</v>
      </c>
      <c r="F42">
        <f>40*(1/150)</f>
        <v>0.26666666666666666</v>
      </c>
      <c r="G42">
        <f>50*(1/150)</f>
        <v>0.33333333333333337</v>
      </c>
      <c r="H42">
        <f>49*(1/150)</f>
        <v>0.32666666666666666</v>
      </c>
      <c r="I42">
        <f>57*(1/150)</f>
        <v>0.38</v>
      </c>
      <c r="J42">
        <f>44*(1/150)</f>
        <v>0.29333333333333333</v>
      </c>
      <c r="K42">
        <v>30</v>
      </c>
      <c r="L42">
        <v>19.2</v>
      </c>
      <c r="M42">
        <v>16</v>
      </c>
      <c r="N42" t="s">
        <v>15</v>
      </c>
      <c r="O42" t="s">
        <v>16</v>
      </c>
      <c r="P42">
        <v>0</v>
      </c>
    </row>
    <row r="43" spans="1:16" s="1" customFormat="1" x14ac:dyDescent="0.35">
      <c r="A43">
        <f>0*(1/150)</f>
        <v>0</v>
      </c>
      <c r="B43">
        <f>448*(1/150)</f>
        <v>2.9866666666666668</v>
      </c>
      <c r="C43">
        <f>835*(1/150)</f>
        <v>5.5666666666666673</v>
      </c>
      <c r="D43">
        <f>778*(1/150)</f>
        <v>5.1866666666666674</v>
      </c>
      <c r="E43">
        <f>776*(1/150)</f>
        <v>5.1733333333333338</v>
      </c>
      <c r="F43">
        <f>862*(1/150)</f>
        <v>5.746666666666667</v>
      </c>
      <c r="G43">
        <f>741*(1/150)</f>
        <v>4.9400000000000004</v>
      </c>
      <c r="H43">
        <f>784*(1/150)</f>
        <v>5.2266666666666666</v>
      </c>
      <c r="I43">
        <f>735*(1/150)</f>
        <v>4.9000000000000004</v>
      </c>
      <c r="J43">
        <f>857*(1/150)</f>
        <v>5.7133333333333338</v>
      </c>
      <c r="K43">
        <v>30</v>
      </c>
      <c r="L43">
        <v>19.2</v>
      </c>
      <c r="M43">
        <v>16</v>
      </c>
      <c r="N43" t="s">
        <v>15</v>
      </c>
      <c r="O43" t="s">
        <v>17</v>
      </c>
      <c r="P43">
        <v>1</v>
      </c>
    </row>
    <row r="44" spans="1:16" s="1" customFormat="1" x14ac:dyDescent="0.35">
      <c r="A44">
        <f>706*(1/150)</f>
        <v>4.706666666666667</v>
      </c>
      <c r="B44">
        <f>1050*(1/150)</f>
        <v>7.0000000000000009</v>
      </c>
      <c r="C44">
        <f>798*(1/150)</f>
        <v>5.32</v>
      </c>
      <c r="D44">
        <f>698*(1/150)</f>
        <v>4.6533333333333333</v>
      </c>
      <c r="E44">
        <f>691*(1/150)</f>
        <v>4.6066666666666674</v>
      </c>
      <c r="F44">
        <f>748*(1/150)</f>
        <v>4.9866666666666672</v>
      </c>
      <c r="G44">
        <f>709*(1/150)</f>
        <v>4.7266666666666666</v>
      </c>
      <c r="H44">
        <f>817*(1/150)</f>
        <v>5.4466666666666672</v>
      </c>
      <c r="I44">
        <f>708*(1/150)</f>
        <v>4.7200000000000006</v>
      </c>
      <c r="J44">
        <f>749*(1/150)</f>
        <v>4.9933333333333341</v>
      </c>
      <c r="K44">
        <v>30</v>
      </c>
      <c r="L44">
        <v>19.2</v>
      </c>
      <c r="M44">
        <v>16</v>
      </c>
      <c r="N44" t="s">
        <v>15</v>
      </c>
      <c r="O44" t="s">
        <v>22</v>
      </c>
      <c r="P44">
        <v>2</v>
      </c>
    </row>
    <row r="45" spans="1:16" s="1" customFormat="1" x14ac:dyDescent="0.35">
      <c r="A45">
        <f>17*(1/150)</f>
        <v>0.11333333333333334</v>
      </c>
      <c r="B45">
        <f t="shared" ref="B45:J46" si="12">0*(1/150)</f>
        <v>0</v>
      </c>
      <c r="C45">
        <f t="shared" si="12"/>
        <v>0</v>
      </c>
      <c r="D45">
        <f t="shared" si="12"/>
        <v>0</v>
      </c>
      <c r="E45">
        <f t="shared" si="12"/>
        <v>0</v>
      </c>
      <c r="F45">
        <f t="shared" si="12"/>
        <v>0</v>
      </c>
      <c r="G45">
        <f t="shared" si="12"/>
        <v>0</v>
      </c>
      <c r="H45">
        <f t="shared" si="12"/>
        <v>0</v>
      </c>
      <c r="I45">
        <f t="shared" si="12"/>
        <v>0</v>
      </c>
      <c r="J45">
        <f t="shared" si="12"/>
        <v>0</v>
      </c>
      <c r="K45">
        <v>30</v>
      </c>
      <c r="L45">
        <v>19.2</v>
      </c>
      <c r="M45">
        <v>16</v>
      </c>
      <c r="N45" t="s">
        <v>15</v>
      </c>
      <c r="O45" t="s">
        <v>18</v>
      </c>
      <c r="P45">
        <v>3</v>
      </c>
    </row>
    <row r="46" spans="1:16" s="1" customFormat="1" x14ac:dyDescent="0.35">
      <c r="A46">
        <f>129*(1/150)</f>
        <v>0.8600000000000001</v>
      </c>
      <c r="B46">
        <f t="shared" si="12"/>
        <v>0</v>
      </c>
      <c r="C46">
        <f t="shared" si="12"/>
        <v>0</v>
      </c>
      <c r="D46">
        <f t="shared" si="12"/>
        <v>0</v>
      </c>
      <c r="E46">
        <f t="shared" si="12"/>
        <v>0</v>
      </c>
      <c r="F46">
        <f t="shared" si="12"/>
        <v>0</v>
      </c>
      <c r="G46">
        <f t="shared" si="12"/>
        <v>0</v>
      </c>
      <c r="H46">
        <f t="shared" si="12"/>
        <v>0</v>
      </c>
      <c r="I46">
        <f t="shared" si="12"/>
        <v>0</v>
      </c>
      <c r="J46">
        <f t="shared" si="12"/>
        <v>0</v>
      </c>
      <c r="K46">
        <v>30</v>
      </c>
      <c r="L46">
        <v>19.2</v>
      </c>
      <c r="M46">
        <v>16</v>
      </c>
      <c r="N46" t="s">
        <v>15</v>
      </c>
      <c r="O46" t="s">
        <v>19</v>
      </c>
      <c r="P46">
        <v>4</v>
      </c>
    </row>
    <row r="47" spans="1:16" x14ac:dyDescent="0.35">
      <c r="A47">
        <f>22*(1/150)</f>
        <v>0.14666666666666667</v>
      </c>
      <c r="B47">
        <f>405*(1/150)</f>
        <v>2.7</v>
      </c>
      <c r="C47">
        <f>546*(1/150)</f>
        <v>3.64</v>
      </c>
      <c r="D47">
        <f>491*(1/150)</f>
        <v>3.2733333333333334</v>
      </c>
      <c r="E47">
        <f>558*(1/150)</f>
        <v>3.72</v>
      </c>
      <c r="F47">
        <f>589*(1/150)</f>
        <v>3.9266666666666667</v>
      </c>
      <c r="G47">
        <f>541*(1/150)</f>
        <v>3.6066666666666669</v>
      </c>
      <c r="H47">
        <f>580*(1/150)</f>
        <v>3.8666666666666667</v>
      </c>
      <c r="I47">
        <f>531*(1/150)</f>
        <v>3.54</v>
      </c>
      <c r="J47">
        <f>579*(1/150)</f>
        <v>3.8600000000000003</v>
      </c>
      <c r="K47">
        <v>30</v>
      </c>
      <c r="L47">
        <v>19.2</v>
      </c>
      <c r="M47">
        <v>39.5</v>
      </c>
      <c r="N47" t="s">
        <v>15</v>
      </c>
      <c r="O47" t="s">
        <v>16</v>
      </c>
      <c r="P47">
        <v>0</v>
      </c>
    </row>
    <row r="48" spans="1:16" x14ac:dyDescent="0.35">
      <c r="A48">
        <f>20*(1/150)</f>
        <v>0.13333333333333333</v>
      </c>
      <c r="B48">
        <f>549*(1/150)</f>
        <v>3.66</v>
      </c>
      <c r="C48">
        <f>645*(1/150)</f>
        <v>4.3000000000000007</v>
      </c>
      <c r="D48">
        <f>621*(1/150)</f>
        <v>4.1400000000000006</v>
      </c>
      <c r="E48">
        <f>552*(1/150)</f>
        <v>3.68</v>
      </c>
      <c r="F48">
        <f>644*(1/150)</f>
        <v>4.2933333333333339</v>
      </c>
      <c r="G48">
        <f>574*(1/150)</f>
        <v>3.8266666666666671</v>
      </c>
      <c r="H48">
        <f>632*(1/150)</f>
        <v>4.2133333333333338</v>
      </c>
      <c r="I48">
        <f>578*(1/150)</f>
        <v>3.8533333333333335</v>
      </c>
      <c r="J48">
        <f>629*(1/150)</f>
        <v>4.1933333333333334</v>
      </c>
      <c r="K48">
        <v>30</v>
      </c>
      <c r="L48">
        <v>19.2</v>
      </c>
      <c r="M48">
        <v>39.5</v>
      </c>
      <c r="N48" t="s">
        <v>15</v>
      </c>
      <c r="O48" t="s">
        <v>17</v>
      </c>
      <c r="P48">
        <v>1</v>
      </c>
    </row>
    <row r="49" spans="1:16" x14ac:dyDescent="0.35">
      <c r="A49">
        <f>548*(1/150)</f>
        <v>3.6533333333333338</v>
      </c>
      <c r="B49">
        <f>470*(1/150)</f>
        <v>3.1333333333333337</v>
      </c>
      <c r="C49">
        <f>445*(1/150)</f>
        <v>2.9666666666666668</v>
      </c>
      <c r="D49">
        <f>379*(1/150)</f>
        <v>2.5266666666666668</v>
      </c>
      <c r="E49">
        <f>386*(1/150)</f>
        <v>2.5733333333333337</v>
      </c>
      <c r="F49">
        <f>412*(1/150)</f>
        <v>2.746666666666667</v>
      </c>
      <c r="G49">
        <f>380*(1/150)</f>
        <v>2.5333333333333337</v>
      </c>
      <c r="H49">
        <f>431*(1/150)</f>
        <v>2.8733333333333335</v>
      </c>
      <c r="I49">
        <f>382*(1/150)</f>
        <v>2.5466666666666669</v>
      </c>
      <c r="J49">
        <f>432*(1/150)</f>
        <v>2.8800000000000003</v>
      </c>
      <c r="K49">
        <v>30</v>
      </c>
      <c r="L49">
        <v>19.2</v>
      </c>
      <c r="M49">
        <v>39.5</v>
      </c>
      <c r="N49" t="s">
        <v>15</v>
      </c>
      <c r="O49" t="s">
        <v>22</v>
      </c>
      <c r="P49">
        <v>2</v>
      </c>
    </row>
    <row r="50" spans="1:16" x14ac:dyDescent="0.35">
      <c r="A50">
        <f>55*(1/150)</f>
        <v>0.3666666666666667</v>
      </c>
      <c r="B50">
        <f t="shared" ref="B50:J50" si="13">0*(1/150)</f>
        <v>0</v>
      </c>
      <c r="C50">
        <f t="shared" si="13"/>
        <v>0</v>
      </c>
      <c r="D50">
        <f t="shared" si="13"/>
        <v>0</v>
      </c>
      <c r="E50">
        <f t="shared" si="13"/>
        <v>0</v>
      </c>
      <c r="F50">
        <f t="shared" si="13"/>
        <v>0</v>
      </c>
      <c r="G50">
        <f t="shared" si="13"/>
        <v>0</v>
      </c>
      <c r="H50">
        <f t="shared" si="13"/>
        <v>0</v>
      </c>
      <c r="I50">
        <f t="shared" si="13"/>
        <v>0</v>
      </c>
      <c r="J50">
        <f t="shared" si="13"/>
        <v>0</v>
      </c>
      <c r="K50">
        <v>30</v>
      </c>
      <c r="L50">
        <v>19.2</v>
      </c>
      <c r="M50">
        <v>39.5</v>
      </c>
      <c r="N50" t="s">
        <v>15</v>
      </c>
      <c r="O50" t="s">
        <v>18</v>
      </c>
      <c r="P50">
        <v>3</v>
      </c>
    </row>
    <row r="51" spans="1:16" x14ac:dyDescent="0.35">
      <c r="A51">
        <f>163*(1/150)</f>
        <v>1.0866666666666667</v>
      </c>
      <c r="B51">
        <f>21*(1/150)</f>
        <v>0.14000000000000001</v>
      </c>
      <c r="C51">
        <f t="shared" ref="C51:J52" si="14">0*(1/150)</f>
        <v>0</v>
      </c>
      <c r="D51">
        <f t="shared" si="14"/>
        <v>0</v>
      </c>
      <c r="E51">
        <f t="shared" si="14"/>
        <v>0</v>
      </c>
      <c r="F51">
        <f t="shared" si="14"/>
        <v>0</v>
      </c>
      <c r="G51">
        <f t="shared" si="14"/>
        <v>0</v>
      </c>
      <c r="H51">
        <f t="shared" si="14"/>
        <v>0</v>
      </c>
      <c r="I51">
        <f t="shared" si="14"/>
        <v>0</v>
      </c>
      <c r="J51">
        <f t="shared" si="14"/>
        <v>0</v>
      </c>
      <c r="K51">
        <v>30</v>
      </c>
      <c r="L51">
        <v>19.2</v>
      </c>
      <c r="M51">
        <v>39.5</v>
      </c>
      <c r="N51" t="s">
        <v>15</v>
      </c>
      <c r="O51" t="s">
        <v>19</v>
      </c>
      <c r="P51">
        <v>4</v>
      </c>
    </row>
    <row r="52" spans="1:16" x14ac:dyDescent="0.35">
      <c r="A52">
        <f>0*(1/150)</f>
        <v>0</v>
      </c>
      <c r="B52">
        <f>0*(1/150)</f>
        <v>0</v>
      </c>
      <c r="C52">
        <f t="shared" si="14"/>
        <v>0</v>
      </c>
      <c r="D52">
        <f t="shared" si="14"/>
        <v>0</v>
      </c>
      <c r="E52">
        <f t="shared" si="14"/>
        <v>0</v>
      </c>
      <c r="F52">
        <f t="shared" si="14"/>
        <v>0</v>
      </c>
      <c r="G52">
        <f t="shared" si="14"/>
        <v>0</v>
      </c>
      <c r="H52">
        <f t="shared" si="14"/>
        <v>0</v>
      </c>
      <c r="I52">
        <f t="shared" si="14"/>
        <v>0</v>
      </c>
      <c r="J52">
        <f t="shared" si="14"/>
        <v>0</v>
      </c>
      <c r="K52">
        <v>30</v>
      </c>
      <c r="L52">
        <v>2</v>
      </c>
      <c r="M52">
        <v>16</v>
      </c>
      <c r="N52" t="s">
        <v>15</v>
      </c>
      <c r="O52" t="s">
        <v>16</v>
      </c>
      <c r="P52">
        <v>0</v>
      </c>
    </row>
    <row r="53" spans="1:16" x14ac:dyDescent="0.35">
      <c r="A53">
        <f>0*(1/150)</f>
        <v>0</v>
      </c>
      <c r="B53">
        <f>780*(1/150)</f>
        <v>5.2</v>
      </c>
      <c r="C53">
        <f>1303*(1/150)</f>
        <v>8.6866666666666674</v>
      </c>
      <c r="D53">
        <f>740*(1/150)</f>
        <v>4.9333333333333336</v>
      </c>
      <c r="E53">
        <f>467*(1/150)</f>
        <v>3.1133333333333337</v>
      </c>
      <c r="F53">
        <f>325*(1/150)</f>
        <v>2.166666666666667</v>
      </c>
      <c r="G53">
        <f>248*(1/150)</f>
        <v>1.6533333333333335</v>
      </c>
      <c r="H53">
        <f>351*(1/150)</f>
        <v>2.3400000000000003</v>
      </c>
      <c r="I53">
        <f>353*(1/150)</f>
        <v>2.3533333333333335</v>
      </c>
      <c r="J53">
        <f>428*(1/150)</f>
        <v>2.8533333333333335</v>
      </c>
      <c r="K53">
        <v>30</v>
      </c>
      <c r="L53">
        <v>2</v>
      </c>
      <c r="M53">
        <v>16</v>
      </c>
      <c r="N53" t="s">
        <v>15</v>
      </c>
      <c r="O53" t="s">
        <v>17</v>
      </c>
      <c r="P53">
        <v>1</v>
      </c>
    </row>
    <row r="54" spans="1:16" x14ac:dyDescent="0.35">
      <c r="A54">
        <f>803*(1/150)</f>
        <v>5.3533333333333335</v>
      </c>
      <c r="B54">
        <f>720*(1/150)</f>
        <v>4.8000000000000007</v>
      </c>
      <c r="C54">
        <f>347*(1/150)</f>
        <v>2.3133333333333335</v>
      </c>
      <c r="D54">
        <f>760*(1/150)</f>
        <v>5.0666666666666673</v>
      </c>
      <c r="E54">
        <f>1033*(1/150)</f>
        <v>6.8866666666666667</v>
      </c>
      <c r="F54">
        <f>1325*(1/150)</f>
        <v>8.8333333333333339</v>
      </c>
      <c r="G54">
        <f>1252*(1/150)</f>
        <v>8.3466666666666676</v>
      </c>
      <c r="H54">
        <f>1299*(1/150)</f>
        <v>8.66</v>
      </c>
      <c r="I54">
        <f>1147*(1/150)</f>
        <v>7.6466666666666674</v>
      </c>
      <c r="J54">
        <f>1222*(1/150)</f>
        <v>8.1466666666666665</v>
      </c>
      <c r="K54">
        <v>30</v>
      </c>
      <c r="L54">
        <v>2</v>
      </c>
      <c r="M54">
        <v>16</v>
      </c>
      <c r="N54" t="s">
        <v>15</v>
      </c>
      <c r="O54" t="s">
        <v>22</v>
      </c>
      <c r="P54">
        <v>2</v>
      </c>
    </row>
    <row r="55" spans="1:16" x14ac:dyDescent="0.35">
      <c r="A55">
        <f>6*(1/150)</f>
        <v>0.04</v>
      </c>
      <c r="B55">
        <f t="shared" ref="B55:J56" si="15">0*(1/150)</f>
        <v>0</v>
      </c>
      <c r="C55">
        <f t="shared" si="15"/>
        <v>0</v>
      </c>
      <c r="D55">
        <f t="shared" si="15"/>
        <v>0</v>
      </c>
      <c r="E55">
        <f t="shared" si="15"/>
        <v>0</v>
      </c>
      <c r="F55">
        <f t="shared" si="15"/>
        <v>0</v>
      </c>
      <c r="G55">
        <f t="shared" si="15"/>
        <v>0</v>
      </c>
      <c r="H55">
        <f t="shared" si="15"/>
        <v>0</v>
      </c>
      <c r="I55">
        <f t="shared" si="15"/>
        <v>0</v>
      </c>
      <c r="J55">
        <f t="shared" si="15"/>
        <v>0</v>
      </c>
      <c r="K55">
        <v>30</v>
      </c>
      <c r="L55">
        <v>2</v>
      </c>
      <c r="M55">
        <v>16</v>
      </c>
      <c r="N55" t="s">
        <v>15</v>
      </c>
      <c r="O55" t="s">
        <v>18</v>
      </c>
      <c r="P55">
        <v>3</v>
      </c>
    </row>
    <row r="56" spans="1:16" x14ac:dyDescent="0.35">
      <c r="A56">
        <f>72*(1/150)</f>
        <v>0.48000000000000004</v>
      </c>
      <c r="B56">
        <f t="shared" si="15"/>
        <v>0</v>
      </c>
      <c r="C56">
        <f t="shared" si="15"/>
        <v>0</v>
      </c>
      <c r="D56">
        <f t="shared" si="15"/>
        <v>0</v>
      </c>
      <c r="E56">
        <f t="shared" si="15"/>
        <v>0</v>
      </c>
      <c r="F56">
        <f t="shared" si="15"/>
        <v>0</v>
      </c>
      <c r="G56">
        <f t="shared" si="15"/>
        <v>0</v>
      </c>
      <c r="H56">
        <f t="shared" si="15"/>
        <v>0</v>
      </c>
      <c r="I56">
        <f t="shared" si="15"/>
        <v>0</v>
      </c>
      <c r="J56">
        <f t="shared" si="15"/>
        <v>0</v>
      </c>
      <c r="K56">
        <v>30</v>
      </c>
      <c r="L56">
        <v>2</v>
      </c>
      <c r="M56">
        <v>16</v>
      </c>
      <c r="N56" t="s">
        <v>15</v>
      </c>
      <c r="O56" t="s">
        <v>19</v>
      </c>
      <c r="P56">
        <v>4</v>
      </c>
    </row>
    <row r="57" spans="1:16" x14ac:dyDescent="0.35">
      <c r="A57">
        <f>0*(1/150)</f>
        <v>0</v>
      </c>
      <c r="B57">
        <f>110*(1/150)</f>
        <v>0.73333333333333339</v>
      </c>
      <c r="C57">
        <f>226*(1/150)</f>
        <v>1.5066666666666668</v>
      </c>
      <c r="D57">
        <f>258*(1/150)</f>
        <v>1.7200000000000002</v>
      </c>
      <c r="E57">
        <f>248*(1/150)</f>
        <v>1.6533333333333335</v>
      </c>
      <c r="F57">
        <f>273*(1/150)</f>
        <v>1.82</v>
      </c>
      <c r="G57">
        <f>227*(1/150)</f>
        <v>1.5133333333333334</v>
      </c>
      <c r="H57">
        <f>285*(1/150)</f>
        <v>1.9000000000000001</v>
      </c>
      <c r="I57">
        <f>262*(1/150)</f>
        <v>1.7466666666666668</v>
      </c>
      <c r="J57">
        <f>270*(1/150)</f>
        <v>1.8</v>
      </c>
      <c r="K57">
        <v>30</v>
      </c>
      <c r="L57">
        <v>2</v>
      </c>
      <c r="M57">
        <v>39.5</v>
      </c>
      <c r="N57" t="s">
        <v>15</v>
      </c>
      <c r="O57" t="s">
        <v>16</v>
      </c>
      <c r="P57">
        <v>0</v>
      </c>
    </row>
    <row r="58" spans="1:16" x14ac:dyDescent="0.35">
      <c r="A58">
        <f>0*(1/150)</f>
        <v>0</v>
      </c>
      <c r="B58">
        <f>546*(1/150)</f>
        <v>3.64</v>
      </c>
      <c r="C58">
        <f>838*(1/150)</f>
        <v>5.5866666666666669</v>
      </c>
      <c r="D58">
        <f>781*(1/150)</f>
        <v>5.206666666666667</v>
      </c>
      <c r="E58">
        <f>783*(1/150)</f>
        <v>5.2200000000000006</v>
      </c>
      <c r="F58">
        <f>868*(1/150)</f>
        <v>5.7866666666666671</v>
      </c>
      <c r="G58">
        <f>797*(1/150)</f>
        <v>5.3133333333333335</v>
      </c>
      <c r="H58">
        <f>849*(1/150)</f>
        <v>5.66</v>
      </c>
      <c r="I58">
        <f>761*(1/150)</f>
        <v>5.0733333333333333</v>
      </c>
      <c r="J58">
        <f>843*(1/150)</f>
        <v>5.62</v>
      </c>
      <c r="K58">
        <v>30</v>
      </c>
      <c r="L58">
        <v>2</v>
      </c>
      <c r="M58">
        <v>39.5</v>
      </c>
      <c r="N58" t="s">
        <v>15</v>
      </c>
      <c r="O58" t="s">
        <v>17</v>
      </c>
      <c r="P58">
        <v>1</v>
      </c>
    </row>
    <row r="59" spans="1:16" x14ac:dyDescent="0.35">
      <c r="A59">
        <f>615*(1/150)</f>
        <v>4.1000000000000005</v>
      </c>
      <c r="B59">
        <f>840*(1/150)</f>
        <v>5.6000000000000005</v>
      </c>
      <c r="C59">
        <f>586*(1/150)</f>
        <v>3.9066666666666667</v>
      </c>
      <c r="D59">
        <f>461*(1/150)</f>
        <v>3.0733333333333337</v>
      </c>
      <c r="E59">
        <f>469*(1/150)</f>
        <v>3.1266666666666669</v>
      </c>
      <c r="F59">
        <f>509*(1/150)</f>
        <v>3.3933333333333335</v>
      </c>
      <c r="G59">
        <f>476*(1/150)</f>
        <v>3.1733333333333333</v>
      </c>
      <c r="H59">
        <f>516*(1/150)</f>
        <v>3.4400000000000004</v>
      </c>
      <c r="I59">
        <f>477*(1/150)</f>
        <v>3.18</v>
      </c>
      <c r="J59">
        <f>537*(1/150)</f>
        <v>3.58</v>
      </c>
      <c r="K59">
        <v>30</v>
      </c>
      <c r="L59">
        <v>2</v>
      </c>
      <c r="M59">
        <v>39.5</v>
      </c>
      <c r="N59" t="s">
        <v>15</v>
      </c>
      <c r="O59" t="s">
        <v>22</v>
      </c>
      <c r="P59">
        <v>2</v>
      </c>
    </row>
    <row r="60" spans="1:16" x14ac:dyDescent="0.35">
      <c r="A60">
        <f>6*(1/150)</f>
        <v>0.04</v>
      </c>
      <c r="B60">
        <f t="shared" ref="B60:J61" si="16">0*(1/150)</f>
        <v>0</v>
      </c>
      <c r="C60">
        <f t="shared" si="16"/>
        <v>0</v>
      </c>
      <c r="D60">
        <f t="shared" si="16"/>
        <v>0</v>
      </c>
      <c r="E60">
        <f t="shared" si="16"/>
        <v>0</v>
      </c>
      <c r="F60">
        <f t="shared" si="16"/>
        <v>0</v>
      </c>
      <c r="G60">
        <f t="shared" si="16"/>
        <v>0</v>
      </c>
      <c r="H60">
        <f t="shared" si="16"/>
        <v>0</v>
      </c>
      <c r="I60">
        <f t="shared" si="16"/>
        <v>0</v>
      </c>
      <c r="J60">
        <f t="shared" si="16"/>
        <v>0</v>
      </c>
      <c r="K60">
        <v>30</v>
      </c>
      <c r="L60">
        <v>2</v>
      </c>
      <c r="M60">
        <v>39.5</v>
      </c>
      <c r="N60" t="s">
        <v>15</v>
      </c>
      <c r="O60" t="s">
        <v>18</v>
      </c>
      <c r="P60">
        <v>3</v>
      </c>
    </row>
    <row r="61" spans="1:16" x14ac:dyDescent="0.35">
      <c r="A61">
        <f>39*(1/150)</f>
        <v>0.26</v>
      </c>
      <c r="B61">
        <f t="shared" si="16"/>
        <v>0</v>
      </c>
      <c r="C61">
        <f t="shared" si="16"/>
        <v>0</v>
      </c>
      <c r="D61">
        <f t="shared" si="16"/>
        <v>0</v>
      </c>
      <c r="E61">
        <f t="shared" si="16"/>
        <v>0</v>
      </c>
      <c r="F61">
        <f t="shared" si="16"/>
        <v>0</v>
      </c>
      <c r="G61">
        <f t="shared" si="16"/>
        <v>0</v>
      </c>
      <c r="H61">
        <f t="shared" si="16"/>
        <v>0</v>
      </c>
      <c r="I61">
        <f t="shared" si="16"/>
        <v>0</v>
      </c>
      <c r="J61">
        <f t="shared" si="16"/>
        <v>0</v>
      </c>
      <c r="K61">
        <v>30</v>
      </c>
      <c r="L61">
        <v>2</v>
      </c>
      <c r="M61">
        <v>39.5</v>
      </c>
      <c r="N61" t="s">
        <v>15</v>
      </c>
      <c r="O61" t="s">
        <v>19</v>
      </c>
      <c r="P61">
        <v>4</v>
      </c>
    </row>
    <row r="62" spans="1:16" x14ac:dyDescent="0.35">
      <c r="A62">
        <f>0*(1/150)</f>
        <v>0</v>
      </c>
      <c r="B62">
        <f>84*(1/150)</f>
        <v>0.56000000000000005</v>
      </c>
      <c r="C62">
        <f>228*(1/150)</f>
        <v>1.52</v>
      </c>
      <c r="D62">
        <f>222*(1/150)</f>
        <v>1.4800000000000002</v>
      </c>
      <c r="E62">
        <f>233*(1/150)</f>
        <v>1.5533333333333335</v>
      </c>
      <c r="F62">
        <f>262*(1/150)</f>
        <v>1.7466666666666668</v>
      </c>
      <c r="G62">
        <f>218*(1/150)</f>
        <v>1.4533333333333334</v>
      </c>
      <c r="H62">
        <f>274*(1/150)</f>
        <v>1.8266666666666669</v>
      </c>
      <c r="I62">
        <f>237*(1/150)</f>
        <v>1.58</v>
      </c>
      <c r="J62">
        <f>293*(1/150)</f>
        <v>1.9533333333333334</v>
      </c>
      <c r="K62">
        <v>30</v>
      </c>
      <c r="L62">
        <v>19.2</v>
      </c>
      <c r="M62">
        <v>16</v>
      </c>
      <c r="N62" t="s">
        <v>20</v>
      </c>
      <c r="O62" t="s">
        <v>16</v>
      </c>
      <c r="P62">
        <v>0</v>
      </c>
    </row>
    <row r="63" spans="1:16" x14ac:dyDescent="0.35">
      <c r="A63">
        <f>0*(1/150)</f>
        <v>0</v>
      </c>
      <c r="B63">
        <f>571*(1/150)</f>
        <v>3.8066666666666671</v>
      </c>
      <c r="C63">
        <f>842*(1/150)</f>
        <v>5.6133333333333333</v>
      </c>
      <c r="D63">
        <f>794*(1/150)</f>
        <v>5.2933333333333339</v>
      </c>
      <c r="E63">
        <f>777*(1/150)</f>
        <v>5.1800000000000006</v>
      </c>
      <c r="F63">
        <f>838*(1/150)</f>
        <v>5.5866666666666669</v>
      </c>
      <c r="G63">
        <f>799*(1/150)</f>
        <v>5.3266666666666671</v>
      </c>
      <c r="H63">
        <f>845*(1/150)</f>
        <v>5.6333333333333337</v>
      </c>
      <c r="I63">
        <f>756*(1/150)</f>
        <v>5.04</v>
      </c>
      <c r="J63">
        <f>851*(1/150)</f>
        <v>5.6733333333333338</v>
      </c>
      <c r="K63">
        <v>30</v>
      </c>
      <c r="L63">
        <v>19.2</v>
      </c>
      <c r="M63">
        <v>16</v>
      </c>
      <c r="N63" t="s">
        <v>20</v>
      </c>
      <c r="O63" t="s">
        <v>17</v>
      </c>
      <c r="P63">
        <v>1</v>
      </c>
    </row>
    <row r="64" spans="1:16" x14ac:dyDescent="0.35">
      <c r="A64">
        <f>0*(1/150)</f>
        <v>0</v>
      </c>
      <c r="B64">
        <f>532*(1/150)</f>
        <v>3.5466666666666669</v>
      </c>
      <c r="C64">
        <f>580*(1/150)</f>
        <v>3.8666666666666667</v>
      </c>
      <c r="D64">
        <f>484*(1/150)</f>
        <v>3.226666666666667</v>
      </c>
      <c r="E64">
        <f>490*(1/150)</f>
        <v>3.2666666666666671</v>
      </c>
      <c r="F64">
        <f>550*(1/150)</f>
        <v>3.666666666666667</v>
      </c>
      <c r="G64">
        <f>483*(1/150)</f>
        <v>3.22</v>
      </c>
      <c r="H64">
        <f>531*(1/150)</f>
        <v>3.54</v>
      </c>
      <c r="I64">
        <f>507*(1/150)</f>
        <v>3.3800000000000003</v>
      </c>
      <c r="J64">
        <f>506*(1/150)</f>
        <v>3.3733333333333335</v>
      </c>
      <c r="K64">
        <v>30</v>
      </c>
      <c r="L64">
        <v>19.2</v>
      </c>
      <c r="M64">
        <v>16</v>
      </c>
      <c r="N64" t="s">
        <v>20</v>
      </c>
      <c r="O64" t="s">
        <v>22</v>
      </c>
      <c r="P64">
        <v>2</v>
      </c>
    </row>
    <row r="65" spans="1:16" x14ac:dyDescent="0.35">
      <c r="A65">
        <f>0*(1/150)</f>
        <v>0</v>
      </c>
      <c r="B65">
        <f t="shared" ref="B65:J65" si="17">0*(1/150)</f>
        <v>0</v>
      </c>
      <c r="C65">
        <f t="shared" si="17"/>
        <v>0</v>
      </c>
      <c r="D65">
        <f t="shared" si="17"/>
        <v>0</v>
      </c>
      <c r="E65">
        <f t="shared" si="17"/>
        <v>0</v>
      </c>
      <c r="F65">
        <f t="shared" si="17"/>
        <v>0</v>
      </c>
      <c r="G65">
        <f t="shared" si="17"/>
        <v>0</v>
      </c>
      <c r="H65">
        <f t="shared" si="17"/>
        <v>0</v>
      </c>
      <c r="I65">
        <f t="shared" si="17"/>
        <v>0</v>
      </c>
      <c r="J65">
        <f t="shared" si="17"/>
        <v>0</v>
      </c>
      <c r="K65">
        <v>30</v>
      </c>
      <c r="L65">
        <v>19.2</v>
      </c>
      <c r="M65">
        <v>16</v>
      </c>
      <c r="N65" t="s">
        <v>20</v>
      </c>
      <c r="O65" t="s">
        <v>18</v>
      </c>
      <c r="P65">
        <v>3</v>
      </c>
    </row>
    <row r="66" spans="1:16" x14ac:dyDescent="0.35">
      <c r="A66">
        <f>900*(1/150)</f>
        <v>6</v>
      </c>
      <c r="B66">
        <f>300*(1/150)</f>
        <v>2</v>
      </c>
      <c r="C66">
        <f t="shared" ref="C66:J66" si="18">0*(1/150)</f>
        <v>0</v>
      </c>
      <c r="D66">
        <f t="shared" si="18"/>
        <v>0</v>
      </c>
      <c r="E66">
        <f t="shared" si="18"/>
        <v>0</v>
      </c>
      <c r="F66">
        <f t="shared" si="18"/>
        <v>0</v>
      </c>
      <c r="G66">
        <f t="shared" si="18"/>
        <v>0</v>
      </c>
      <c r="H66">
        <f t="shared" si="18"/>
        <v>0</v>
      </c>
      <c r="I66">
        <f t="shared" si="18"/>
        <v>0</v>
      </c>
      <c r="J66">
        <f t="shared" si="18"/>
        <v>0</v>
      </c>
      <c r="K66">
        <v>30</v>
      </c>
      <c r="L66">
        <v>19.2</v>
      </c>
      <c r="M66">
        <v>16</v>
      </c>
      <c r="N66" t="s">
        <v>20</v>
      </c>
      <c r="O66" t="s">
        <v>19</v>
      </c>
      <c r="P66">
        <v>4</v>
      </c>
    </row>
    <row r="67" spans="1:16" x14ac:dyDescent="0.35">
      <c r="A67">
        <f>29*(1/150)</f>
        <v>0.19333333333333336</v>
      </c>
      <c r="B67">
        <f>504*(1/150)</f>
        <v>3.3600000000000003</v>
      </c>
      <c r="C67">
        <f>758*(1/150)</f>
        <v>5.0533333333333337</v>
      </c>
      <c r="D67">
        <f>700*(1/150)</f>
        <v>4.666666666666667</v>
      </c>
      <c r="E67">
        <f>727*(1/150)</f>
        <v>4.8466666666666667</v>
      </c>
      <c r="F67">
        <f>820*(1/150)</f>
        <v>5.4666666666666668</v>
      </c>
      <c r="G67">
        <f>713*(1/150)</f>
        <v>4.7533333333333339</v>
      </c>
      <c r="H67">
        <f>785*(1/150)</f>
        <v>5.2333333333333334</v>
      </c>
      <c r="I67">
        <f>739*(1/150)</f>
        <v>4.9266666666666667</v>
      </c>
      <c r="J67">
        <f>792*(1/150)</f>
        <v>5.28</v>
      </c>
      <c r="K67">
        <v>30</v>
      </c>
      <c r="L67">
        <v>19.2</v>
      </c>
      <c r="M67">
        <v>39.5</v>
      </c>
      <c r="N67" t="s">
        <v>20</v>
      </c>
      <c r="O67" t="s">
        <v>16</v>
      </c>
      <c r="P67">
        <v>0</v>
      </c>
    </row>
    <row r="68" spans="1:16" x14ac:dyDescent="0.35">
      <c r="A68">
        <f>44*(1/150)</f>
        <v>0.29333333333333333</v>
      </c>
      <c r="B68">
        <f>509*(1/150)</f>
        <v>3.3933333333333335</v>
      </c>
      <c r="C68">
        <f>520*(1/150)</f>
        <v>3.4666666666666668</v>
      </c>
      <c r="D68">
        <f>455*(1/150)</f>
        <v>3.0333333333333337</v>
      </c>
      <c r="E68">
        <f>486*(1/150)</f>
        <v>3.24</v>
      </c>
      <c r="F68">
        <f>493*(1/150)</f>
        <v>3.2866666666666671</v>
      </c>
      <c r="G68">
        <f>463*(1/150)</f>
        <v>3.0866666666666669</v>
      </c>
      <c r="H68">
        <f>508*(1/150)</f>
        <v>3.3866666666666667</v>
      </c>
      <c r="I68">
        <f>454*(1/150)</f>
        <v>3.0266666666666668</v>
      </c>
      <c r="J68">
        <f>506*(1/150)</f>
        <v>3.3733333333333335</v>
      </c>
      <c r="K68">
        <v>30</v>
      </c>
      <c r="L68">
        <v>19.2</v>
      </c>
      <c r="M68">
        <v>39.5</v>
      </c>
      <c r="N68" t="s">
        <v>20</v>
      </c>
      <c r="O68" t="s">
        <v>17</v>
      </c>
      <c r="P68">
        <v>1</v>
      </c>
    </row>
    <row r="69" spans="1:16" x14ac:dyDescent="0.35">
      <c r="A69">
        <f>515*(1/150)</f>
        <v>3.4333333333333336</v>
      </c>
      <c r="B69">
        <f>453*(1/150)</f>
        <v>3.02</v>
      </c>
      <c r="C69">
        <f>363*(1/150)</f>
        <v>2.4200000000000004</v>
      </c>
      <c r="D69">
        <f>341*(1/150)</f>
        <v>2.2733333333333334</v>
      </c>
      <c r="E69">
        <f>283*(1/150)</f>
        <v>1.8866666666666667</v>
      </c>
      <c r="F69">
        <f>333*(1/150)</f>
        <v>2.2200000000000002</v>
      </c>
      <c r="G69">
        <f>322*(1/150)</f>
        <v>2.1466666666666669</v>
      </c>
      <c r="H69">
        <f>356*(1/150)</f>
        <v>2.3733333333333335</v>
      </c>
      <c r="I69">
        <f>298*(1/150)</f>
        <v>1.9866666666666668</v>
      </c>
      <c r="J69">
        <f>349*(1/150)</f>
        <v>2.3266666666666667</v>
      </c>
      <c r="K69">
        <v>30</v>
      </c>
      <c r="L69">
        <v>19.2</v>
      </c>
      <c r="M69">
        <v>39.5</v>
      </c>
      <c r="N69" t="s">
        <v>20</v>
      </c>
      <c r="O69" t="s">
        <v>22</v>
      </c>
      <c r="P69">
        <v>2</v>
      </c>
    </row>
    <row r="70" spans="1:16" x14ac:dyDescent="0.35">
      <c r="A70">
        <f>8*(1/150)</f>
        <v>5.3333333333333337E-2</v>
      </c>
      <c r="B70">
        <f t="shared" ref="B70:J70" si="19">0*(1/150)</f>
        <v>0</v>
      </c>
      <c r="C70">
        <f t="shared" si="19"/>
        <v>0</v>
      </c>
      <c r="D70">
        <f t="shared" si="19"/>
        <v>0</v>
      </c>
      <c r="E70">
        <f t="shared" si="19"/>
        <v>0</v>
      </c>
      <c r="F70">
        <f t="shared" si="19"/>
        <v>0</v>
      </c>
      <c r="G70">
        <f t="shared" si="19"/>
        <v>0</v>
      </c>
      <c r="H70">
        <f t="shared" si="19"/>
        <v>0</v>
      </c>
      <c r="I70">
        <f t="shared" si="19"/>
        <v>0</v>
      </c>
      <c r="J70">
        <f t="shared" si="19"/>
        <v>0</v>
      </c>
      <c r="K70">
        <v>30</v>
      </c>
      <c r="L70">
        <v>19.2</v>
      </c>
      <c r="M70">
        <v>39.5</v>
      </c>
      <c r="N70" t="s">
        <v>20</v>
      </c>
      <c r="O70" t="s">
        <v>18</v>
      </c>
      <c r="P70">
        <v>3</v>
      </c>
    </row>
    <row r="71" spans="1:16" x14ac:dyDescent="0.35">
      <c r="A71">
        <f>56*(1/150)</f>
        <v>0.37333333333333335</v>
      </c>
      <c r="B71">
        <f>11*(1/150)</f>
        <v>7.3333333333333334E-2</v>
      </c>
      <c r="C71">
        <f t="shared" ref="C71:J72" si="20">0*(1/150)</f>
        <v>0</v>
      </c>
      <c r="D71">
        <f t="shared" si="20"/>
        <v>0</v>
      </c>
      <c r="E71">
        <f t="shared" si="20"/>
        <v>0</v>
      </c>
      <c r="F71">
        <f t="shared" si="20"/>
        <v>0</v>
      </c>
      <c r="G71">
        <f t="shared" si="20"/>
        <v>0</v>
      </c>
      <c r="H71">
        <f t="shared" si="20"/>
        <v>0</v>
      </c>
      <c r="I71">
        <f t="shared" si="20"/>
        <v>0</v>
      </c>
      <c r="J71">
        <f t="shared" si="20"/>
        <v>0</v>
      </c>
      <c r="K71">
        <v>30</v>
      </c>
      <c r="L71">
        <v>19.2</v>
      </c>
      <c r="M71">
        <v>39.5</v>
      </c>
      <c r="N71" t="s">
        <v>20</v>
      </c>
      <c r="O71" t="s">
        <v>19</v>
      </c>
      <c r="P71">
        <v>4</v>
      </c>
    </row>
    <row r="72" spans="1:16" x14ac:dyDescent="0.35">
      <c r="A72">
        <f>24*(1/150)</f>
        <v>0.16</v>
      </c>
      <c r="B72">
        <f>0*(1/150)</f>
        <v>0</v>
      </c>
      <c r="C72">
        <f t="shared" si="20"/>
        <v>0</v>
      </c>
      <c r="D72">
        <f t="shared" si="20"/>
        <v>0</v>
      </c>
      <c r="E72">
        <f t="shared" si="20"/>
        <v>0</v>
      </c>
      <c r="F72">
        <f t="shared" si="20"/>
        <v>0</v>
      </c>
      <c r="G72">
        <f t="shared" si="20"/>
        <v>0</v>
      </c>
      <c r="H72">
        <f t="shared" si="20"/>
        <v>0</v>
      </c>
      <c r="I72">
        <f t="shared" si="20"/>
        <v>0</v>
      </c>
      <c r="J72">
        <f t="shared" si="20"/>
        <v>0</v>
      </c>
      <c r="K72">
        <v>30</v>
      </c>
      <c r="L72">
        <v>2</v>
      </c>
      <c r="M72">
        <v>16</v>
      </c>
      <c r="N72" t="s">
        <v>20</v>
      </c>
      <c r="O72" t="s">
        <v>16</v>
      </c>
      <c r="P72">
        <v>0</v>
      </c>
    </row>
    <row r="73" spans="1:16" x14ac:dyDescent="0.35">
      <c r="A73">
        <f>0*(1/150)</f>
        <v>0</v>
      </c>
      <c r="B73">
        <f>124*(1/150)</f>
        <v>0.82666666666666677</v>
      </c>
      <c r="C73">
        <f>407*(1/150)</f>
        <v>2.7133333333333334</v>
      </c>
      <c r="D73">
        <f>221*(1/150)</f>
        <v>1.4733333333333334</v>
      </c>
      <c r="E73">
        <f>263*(1/150)</f>
        <v>1.7533333333333334</v>
      </c>
      <c r="F73">
        <f>396*(1/150)</f>
        <v>2.64</v>
      </c>
      <c r="G73">
        <f>429*(1/150)</f>
        <v>2.8600000000000003</v>
      </c>
      <c r="H73">
        <f>593*(1/150)</f>
        <v>3.9533333333333336</v>
      </c>
      <c r="I73">
        <f>616*(1/150)</f>
        <v>4.1066666666666674</v>
      </c>
      <c r="J73">
        <f>685*(1/150)</f>
        <v>4.5666666666666673</v>
      </c>
      <c r="K73">
        <v>30</v>
      </c>
      <c r="L73">
        <v>2</v>
      </c>
      <c r="M73">
        <v>16</v>
      </c>
      <c r="N73" t="s">
        <v>20</v>
      </c>
      <c r="O73" t="s">
        <v>17</v>
      </c>
      <c r="P73">
        <v>1</v>
      </c>
    </row>
    <row r="74" spans="1:16" x14ac:dyDescent="0.35">
      <c r="A74">
        <f>900*(1/150)</f>
        <v>6</v>
      </c>
      <c r="B74">
        <f>1376*(1/150)</f>
        <v>9.1733333333333338</v>
      </c>
      <c r="C74">
        <f>1243*(1/150)</f>
        <v>8.2866666666666671</v>
      </c>
      <c r="D74">
        <f>1279*(1/150)</f>
        <v>8.5266666666666673</v>
      </c>
      <c r="E74">
        <f>1237*(1/150)</f>
        <v>8.2466666666666679</v>
      </c>
      <c r="F74">
        <f>1254*(1/150)</f>
        <v>8.3600000000000012</v>
      </c>
      <c r="G74">
        <f>1071*(1/150)</f>
        <v>7.1400000000000006</v>
      </c>
      <c r="H74">
        <f>1057*(1/150)</f>
        <v>7.0466666666666669</v>
      </c>
      <c r="I74">
        <f>882*(1/150)</f>
        <v>5.8800000000000008</v>
      </c>
      <c r="J74">
        <f>943*(1/150)</f>
        <v>6.2866666666666671</v>
      </c>
      <c r="K74">
        <v>30</v>
      </c>
      <c r="L74">
        <v>2</v>
      </c>
      <c r="M74">
        <v>16</v>
      </c>
      <c r="N74" t="s">
        <v>20</v>
      </c>
      <c r="O74" t="s">
        <v>22</v>
      </c>
      <c r="P74">
        <v>2</v>
      </c>
    </row>
    <row r="75" spans="1:16" x14ac:dyDescent="0.35">
      <c r="A75">
        <f t="shared" ref="A75:J76" si="21">0*(1/150)</f>
        <v>0</v>
      </c>
      <c r="B75">
        <f t="shared" si="21"/>
        <v>0</v>
      </c>
      <c r="C75">
        <f t="shared" si="21"/>
        <v>0</v>
      </c>
      <c r="D75">
        <f t="shared" si="21"/>
        <v>0</v>
      </c>
      <c r="E75">
        <f t="shared" si="21"/>
        <v>0</v>
      </c>
      <c r="F75">
        <f t="shared" si="21"/>
        <v>0</v>
      </c>
      <c r="G75">
        <f t="shared" si="21"/>
        <v>0</v>
      </c>
      <c r="H75">
        <f t="shared" si="21"/>
        <v>0</v>
      </c>
      <c r="I75">
        <f t="shared" si="21"/>
        <v>0</v>
      </c>
      <c r="J75">
        <f t="shared" si="21"/>
        <v>0</v>
      </c>
      <c r="K75">
        <v>30</v>
      </c>
      <c r="L75">
        <v>2</v>
      </c>
      <c r="M75">
        <v>16</v>
      </c>
      <c r="N75" t="s">
        <v>20</v>
      </c>
      <c r="O75" t="s">
        <v>18</v>
      </c>
      <c r="P75">
        <v>3</v>
      </c>
    </row>
    <row r="76" spans="1:16" x14ac:dyDescent="0.35">
      <c r="A76">
        <f t="shared" si="21"/>
        <v>0</v>
      </c>
      <c r="B76">
        <f t="shared" si="21"/>
        <v>0</v>
      </c>
      <c r="C76">
        <f t="shared" si="21"/>
        <v>0</v>
      </c>
      <c r="D76">
        <f t="shared" si="21"/>
        <v>0</v>
      </c>
      <c r="E76">
        <f t="shared" si="21"/>
        <v>0</v>
      </c>
      <c r="F76">
        <f t="shared" si="21"/>
        <v>0</v>
      </c>
      <c r="G76">
        <f t="shared" si="21"/>
        <v>0</v>
      </c>
      <c r="H76">
        <f t="shared" si="21"/>
        <v>0</v>
      </c>
      <c r="I76">
        <f t="shared" si="21"/>
        <v>0</v>
      </c>
      <c r="J76">
        <f t="shared" si="21"/>
        <v>0</v>
      </c>
      <c r="K76">
        <v>30</v>
      </c>
      <c r="L76">
        <v>2</v>
      </c>
      <c r="M76">
        <v>16</v>
      </c>
      <c r="N76" t="s">
        <v>20</v>
      </c>
      <c r="O76" t="s">
        <v>19</v>
      </c>
      <c r="P76">
        <v>4</v>
      </c>
    </row>
    <row r="77" spans="1:16" x14ac:dyDescent="0.35">
      <c r="A77">
        <f>0*(1/150)</f>
        <v>0</v>
      </c>
      <c r="B77">
        <f>0*(1/150)</f>
        <v>0</v>
      </c>
      <c r="C77">
        <f>0*(1/150)</f>
        <v>0</v>
      </c>
      <c r="D77">
        <f>96*(1/150)</f>
        <v>0.64</v>
      </c>
      <c r="E77">
        <f>192*(1/150)</f>
        <v>1.28</v>
      </c>
      <c r="F77">
        <f>290*(1/150)</f>
        <v>1.9333333333333333</v>
      </c>
      <c r="G77">
        <f>294*(1/150)</f>
        <v>1.9600000000000002</v>
      </c>
      <c r="H77">
        <f>403*(1/150)</f>
        <v>2.686666666666667</v>
      </c>
      <c r="I77">
        <f>424*(1/150)</f>
        <v>2.8266666666666667</v>
      </c>
      <c r="J77">
        <f>457*(1/150)</f>
        <v>3.0466666666666669</v>
      </c>
      <c r="K77">
        <v>30</v>
      </c>
      <c r="L77">
        <v>2</v>
      </c>
      <c r="M77">
        <v>39.5</v>
      </c>
      <c r="N77" t="s">
        <v>20</v>
      </c>
      <c r="O77" t="s">
        <v>16</v>
      </c>
      <c r="P77">
        <v>0</v>
      </c>
    </row>
    <row r="78" spans="1:16" x14ac:dyDescent="0.35">
      <c r="A78">
        <f>0*(1/150)</f>
        <v>0</v>
      </c>
      <c r="B78">
        <f>326*(1/150)</f>
        <v>2.1733333333333333</v>
      </c>
      <c r="C78">
        <f>745*(1/150)</f>
        <v>4.9666666666666668</v>
      </c>
      <c r="D78">
        <f>774*(1/150)</f>
        <v>5.16</v>
      </c>
      <c r="E78">
        <f>764*(1/150)</f>
        <v>5.0933333333333337</v>
      </c>
      <c r="F78">
        <f>795*(1/150)</f>
        <v>5.3000000000000007</v>
      </c>
      <c r="G78">
        <f>701*(1/150)</f>
        <v>4.6733333333333338</v>
      </c>
      <c r="H78">
        <f>729*(1/150)</f>
        <v>4.8600000000000003</v>
      </c>
      <c r="I78">
        <f>621*(1/150)</f>
        <v>4.1400000000000006</v>
      </c>
      <c r="J78">
        <f>698*(1/150)</f>
        <v>4.6533333333333333</v>
      </c>
      <c r="K78">
        <v>30</v>
      </c>
      <c r="L78">
        <v>2</v>
      </c>
      <c r="M78">
        <v>39.5</v>
      </c>
      <c r="N78" t="s">
        <v>20</v>
      </c>
      <c r="O78" t="s">
        <v>17</v>
      </c>
      <c r="P78">
        <v>1</v>
      </c>
    </row>
    <row r="79" spans="1:16" x14ac:dyDescent="0.35">
      <c r="A79">
        <f>898*(1/150)</f>
        <v>5.9866666666666672</v>
      </c>
      <c r="B79">
        <f>1174*(1/150)</f>
        <v>7.8266666666666671</v>
      </c>
      <c r="C79">
        <f>904*(1/150)</f>
        <v>6.0266666666666673</v>
      </c>
      <c r="D79">
        <f>631*(1/150)</f>
        <v>4.206666666666667</v>
      </c>
      <c r="E79">
        <f>544*(1/150)</f>
        <v>3.6266666666666669</v>
      </c>
      <c r="F79">
        <f>565*(1/150)</f>
        <v>3.7666666666666671</v>
      </c>
      <c r="G79">
        <f>505*(1/150)</f>
        <v>3.3666666666666667</v>
      </c>
      <c r="H79">
        <f>518*(1/150)</f>
        <v>3.4533333333333336</v>
      </c>
      <c r="I79">
        <f>455*(1/150)</f>
        <v>3.0333333333333337</v>
      </c>
      <c r="J79">
        <f>495*(1/150)</f>
        <v>3.3000000000000003</v>
      </c>
      <c r="K79">
        <v>30</v>
      </c>
      <c r="L79">
        <v>2</v>
      </c>
      <c r="M79">
        <v>39.5</v>
      </c>
      <c r="N79" t="s">
        <v>20</v>
      </c>
      <c r="O79" t="s">
        <v>22</v>
      </c>
      <c r="P79">
        <v>2</v>
      </c>
    </row>
    <row r="80" spans="1:16" x14ac:dyDescent="0.35">
      <c r="A80">
        <f t="shared" ref="A80:J81" si="22">0*(1/150)</f>
        <v>0</v>
      </c>
      <c r="B80">
        <f t="shared" si="22"/>
        <v>0</v>
      </c>
      <c r="C80">
        <f t="shared" si="22"/>
        <v>0</v>
      </c>
      <c r="D80">
        <f t="shared" si="22"/>
        <v>0</v>
      </c>
      <c r="E80">
        <f t="shared" si="22"/>
        <v>0</v>
      </c>
      <c r="F80">
        <f t="shared" si="22"/>
        <v>0</v>
      </c>
      <c r="G80">
        <f t="shared" si="22"/>
        <v>0</v>
      </c>
      <c r="H80">
        <f t="shared" si="22"/>
        <v>0</v>
      </c>
      <c r="I80">
        <f t="shared" si="22"/>
        <v>0</v>
      </c>
      <c r="J80">
        <f t="shared" si="22"/>
        <v>0</v>
      </c>
      <c r="K80">
        <v>30</v>
      </c>
      <c r="L80">
        <v>2</v>
      </c>
      <c r="M80">
        <v>39.5</v>
      </c>
      <c r="N80" t="s">
        <v>20</v>
      </c>
      <c r="O80" t="s">
        <v>18</v>
      </c>
      <c r="P80">
        <v>3</v>
      </c>
    </row>
    <row r="81" spans="1:16" x14ac:dyDescent="0.35">
      <c r="A81">
        <f t="shared" si="22"/>
        <v>0</v>
      </c>
      <c r="B81">
        <f t="shared" si="22"/>
        <v>0</v>
      </c>
      <c r="C81">
        <f t="shared" si="22"/>
        <v>0</v>
      </c>
      <c r="D81">
        <f t="shared" si="22"/>
        <v>0</v>
      </c>
      <c r="E81">
        <f t="shared" si="22"/>
        <v>0</v>
      </c>
      <c r="F81">
        <f t="shared" si="22"/>
        <v>0</v>
      </c>
      <c r="G81">
        <f t="shared" si="22"/>
        <v>0</v>
      </c>
      <c r="H81">
        <f t="shared" si="22"/>
        <v>0</v>
      </c>
      <c r="I81">
        <f t="shared" si="22"/>
        <v>0</v>
      </c>
      <c r="J81">
        <f t="shared" si="22"/>
        <v>0</v>
      </c>
      <c r="K81">
        <v>30</v>
      </c>
      <c r="L81">
        <v>2</v>
      </c>
      <c r="M81">
        <v>39.5</v>
      </c>
      <c r="N81" t="s">
        <v>20</v>
      </c>
      <c r="O81" t="s">
        <v>19</v>
      </c>
      <c r="P81">
        <v>4</v>
      </c>
    </row>
    <row r="82" spans="1:16" x14ac:dyDescent="0.35">
      <c r="A82">
        <f>0*(1/150)</f>
        <v>0</v>
      </c>
      <c r="B82">
        <f>8*(1/150)</f>
        <v>5.3333333333333337E-2</v>
      </c>
      <c r="C82">
        <f>30*(1/150)</f>
        <v>0.2</v>
      </c>
      <c r="D82">
        <f>28*(1/150)</f>
        <v>0.18666666666666668</v>
      </c>
      <c r="E82">
        <f>40*(1/150)</f>
        <v>0.26666666666666666</v>
      </c>
      <c r="F82">
        <f>45*(1/150)</f>
        <v>0.30000000000000004</v>
      </c>
      <c r="G82">
        <f>49*(1/150)</f>
        <v>0.32666666666666666</v>
      </c>
      <c r="H82">
        <f>53*(1/150)</f>
        <v>0.35333333333333333</v>
      </c>
      <c r="I82">
        <f>57*(1/150)</f>
        <v>0.38</v>
      </c>
      <c r="J82">
        <f>47*(1/150)</f>
        <v>0.31333333333333335</v>
      </c>
      <c r="K82" s="2">
        <v>15</v>
      </c>
      <c r="L82" s="2">
        <v>19.2</v>
      </c>
      <c r="M82" s="2">
        <v>16</v>
      </c>
      <c r="N82" s="2" t="s">
        <v>15</v>
      </c>
      <c r="O82" t="s">
        <v>16</v>
      </c>
      <c r="P82">
        <v>0</v>
      </c>
    </row>
    <row r="83" spans="1:16" x14ac:dyDescent="0.35">
      <c r="A83">
        <f>0*(1/150)</f>
        <v>0</v>
      </c>
      <c r="B83">
        <f>513*(1/150)</f>
        <v>3.4200000000000004</v>
      </c>
      <c r="C83">
        <f>854*(1/150)</f>
        <v>5.6933333333333334</v>
      </c>
      <c r="D83">
        <f>783*(1/150)</f>
        <v>5.2200000000000006</v>
      </c>
      <c r="E83">
        <f>776*(1/150)</f>
        <v>5.1733333333333338</v>
      </c>
      <c r="F83">
        <f>860*(1/150)</f>
        <v>5.7333333333333334</v>
      </c>
      <c r="G83">
        <f>746*(1/150)</f>
        <v>4.9733333333333336</v>
      </c>
      <c r="H83">
        <f>785*(1/150)</f>
        <v>5.2333333333333334</v>
      </c>
      <c r="I83">
        <f>742*(1/150)</f>
        <v>4.9466666666666672</v>
      </c>
      <c r="J83">
        <f>855*(1/150)</f>
        <v>5.7</v>
      </c>
      <c r="K83" s="2">
        <v>15</v>
      </c>
      <c r="L83" s="2">
        <v>19.2</v>
      </c>
      <c r="M83" s="2">
        <v>16</v>
      </c>
      <c r="N83" s="2" t="s">
        <v>15</v>
      </c>
      <c r="O83" t="s">
        <v>17</v>
      </c>
      <c r="P83">
        <v>1</v>
      </c>
    </row>
    <row r="84" spans="1:16" x14ac:dyDescent="0.35">
      <c r="A84">
        <f>275*(1/150)</f>
        <v>1.8333333333333335</v>
      </c>
      <c r="B84">
        <f>826*(1/150)</f>
        <v>5.5066666666666668</v>
      </c>
      <c r="C84">
        <f>766*(1/150)</f>
        <v>5.1066666666666674</v>
      </c>
      <c r="D84">
        <f>689*(1/150)</f>
        <v>4.5933333333333337</v>
      </c>
      <c r="E84">
        <f>684*(1/150)</f>
        <v>4.5600000000000005</v>
      </c>
      <c r="F84">
        <f>745*(1/150)</f>
        <v>4.9666666666666668</v>
      </c>
      <c r="G84">
        <f>705*(1/150)</f>
        <v>4.7</v>
      </c>
      <c r="H84">
        <f>812*(1/150)</f>
        <v>5.413333333333334</v>
      </c>
      <c r="I84">
        <f>701*(1/150)</f>
        <v>4.6733333333333338</v>
      </c>
      <c r="J84">
        <f>748*(1/150)</f>
        <v>4.9866666666666672</v>
      </c>
      <c r="K84" s="2">
        <v>15</v>
      </c>
      <c r="L84" s="2">
        <v>19.2</v>
      </c>
      <c r="M84" s="2">
        <v>16</v>
      </c>
      <c r="N84" s="2" t="s">
        <v>15</v>
      </c>
      <c r="O84" t="s">
        <v>22</v>
      </c>
      <c r="P84">
        <v>2</v>
      </c>
    </row>
    <row r="85" spans="1:16" x14ac:dyDescent="0.35">
      <c r="A85">
        <f>30*(1/150)</f>
        <v>0.2</v>
      </c>
      <c r="B85">
        <f>23*(1/150)</f>
        <v>0.15333333333333335</v>
      </c>
      <c r="C85">
        <f t="shared" ref="C85:J86" si="23">0*(1/150)</f>
        <v>0</v>
      </c>
      <c r="D85">
        <f t="shared" si="23"/>
        <v>0</v>
      </c>
      <c r="E85">
        <f t="shared" si="23"/>
        <v>0</v>
      </c>
      <c r="F85">
        <f t="shared" si="23"/>
        <v>0</v>
      </c>
      <c r="G85">
        <f t="shared" si="23"/>
        <v>0</v>
      </c>
      <c r="H85">
        <f t="shared" si="23"/>
        <v>0</v>
      </c>
      <c r="I85">
        <f t="shared" si="23"/>
        <v>0</v>
      </c>
      <c r="J85">
        <f t="shared" si="23"/>
        <v>0</v>
      </c>
      <c r="K85" s="2">
        <v>15</v>
      </c>
      <c r="L85" s="2">
        <v>19.2</v>
      </c>
      <c r="M85" s="2">
        <v>16</v>
      </c>
      <c r="N85" s="2" t="s">
        <v>15</v>
      </c>
      <c r="O85" t="s">
        <v>18</v>
      </c>
      <c r="P85">
        <v>3</v>
      </c>
    </row>
    <row r="86" spans="1:16" x14ac:dyDescent="0.35">
      <c r="A86">
        <f>480*(1/150)</f>
        <v>3.2</v>
      </c>
      <c r="B86">
        <f>51*(1/150)</f>
        <v>0.34</v>
      </c>
      <c r="C86">
        <f t="shared" si="23"/>
        <v>0</v>
      </c>
      <c r="D86">
        <f t="shared" si="23"/>
        <v>0</v>
      </c>
      <c r="E86">
        <f t="shared" si="23"/>
        <v>0</v>
      </c>
      <c r="F86">
        <f t="shared" si="23"/>
        <v>0</v>
      </c>
      <c r="G86">
        <f t="shared" si="23"/>
        <v>0</v>
      </c>
      <c r="H86">
        <f t="shared" si="23"/>
        <v>0</v>
      </c>
      <c r="I86">
        <f t="shared" si="23"/>
        <v>0</v>
      </c>
      <c r="J86">
        <f t="shared" si="23"/>
        <v>0</v>
      </c>
      <c r="K86" s="2">
        <v>15</v>
      </c>
      <c r="L86" s="2">
        <v>19.2</v>
      </c>
      <c r="M86" s="2">
        <v>16</v>
      </c>
      <c r="N86" s="2" t="s">
        <v>15</v>
      </c>
      <c r="O86" t="s">
        <v>19</v>
      </c>
      <c r="P86">
        <v>4</v>
      </c>
    </row>
    <row r="87" spans="1:16" x14ac:dyDescent="0.35">
      <c r="A87">
        <f>23*(1/150)</f>
        <v>0.15333333333333335</v>
      </c>
      <c r="B87">
        <f>443*(1/150)</f>
        <v>2.9533333333333336</v>
      </c>
      <c r="C87">
        <f>578*(1/150)</f>
        <v>3.8533333333333335</v>
      </c>
      <c r="D87">
        <f>500*(1/150)</f>
        <v>3.3333333333333335</v>
      </c>
      <c r="E87">
        <f>565*(1/150)</f>
        <v>3.7666666666666671</v>
      </c>
      <c r="F87">
        <f>571*(1/150)</f>
        <v>3.8066666666666671</v>
      </c>
      <c r="G87">
        <f>568*(1/150)</f>
        <v>3.7866666666666671</v>
      </c>
      <c r="H87">
        <f>596*(1/150)</f>
        <v>3.9733333333333336</v>
      </c>
      <c r="I87">
        <f>531*(1/150)</f>
        <v>3.54</v>
      </c>
      <c r="J87">
        <f>630*(1/150)</f>
        <v>4.2</v>
      </c>
      <c r="K87" s="3">
        <v>15</v>
      </c>
      <c r="L87" s="3">
        <v>19.2</v>
      </c>
      <c r="M87" s="3">
        <v>39.5</v>
      </c>
      <c r="N87" s="3" t="s">
        <v>15</v>
      </c>
      <c r="O87" t="s">
        <v>16</v>
      </c>
      <c r="P87">
        <v>0</v>
      </c>
    </row>
    <row r="88" spans="1:16" x14ac:dyDescent="0.35">
      <c r="A88">
        <f>12*(1/150)</f>
        <v>0.08</v>
      </c>
      <c r="B88">
        <f>481*(1/150)</f>
        <v>3.206666666666667</v>
      </c>
      <c r="C88">
        <f>651*(1/150)</f>
        <v>4.34</v>
      </c>
      <c r="D88">
        <f>590*(1/150)</f>
        <v>3.9333333333333336</v>
      </c>
      <c r="E88">
        <f>539*(1/150)</f>
        <v>3.5933333333333337</v>
      </c>
      <c r="F88">
        <f>614*(1/150)</f>
        <v>4.0933333333333337</v>
      </c>
      <c r="G88">
        <f>547*(1/150)</f>
        <v>3.6466666666666669</v>
      </c>
      <c r="H88">
        <f>634*(1/150)</f>
        <v>4.2266666666666666</v>
      </c>
      <c r="I88">
        <f>582*(1/150)</f>
        <v>3.8800000000000003</v>
      </c>
      <c r="J88">
        <f>617*(1/150)</f>
        <v>4.1133333333333333</v>
      </c>
      <c r="K88" s="3">
        <v>15</v>
      </c>
      <c r="L88" s="3">
        <v>19.2</v>
      </c>
      <c r="M88" s="3">
        <v>39.5</v>
      </c>
      <c r="N88" s="3" t="s">
        <v>15</v>
      </c>
      <c r="O88" t="s">
        <v>17</v>
      </c>
      <c r="P88">
        <v>1</v>
      </c>
    </row>
    <row r="89" spans="1:16" x14ac:dyDescent="0.35">
      <c r="A89">
        <f>210*(1/150)</f>
        <v>1.4000000000000001</v>
      </c>
      <c r="B89">
        <f>427*(1/150)</f>
        <v>2.8466666666666667</v>
      </c>
      <c r="C89">
        <f>407*(1/150)</f>
        <v>2.7133333333333334</v>
      </c>
      <c r="D89">
        <f>404*(1/150)</f>
        <v>2.6933333333333334</v>
      </c>
      <c r="E89">
        <f>394*(1/150)</f>
        <v>2.6266666666666669</v>
      </c>
      <c r="F89">
        <f>460*(1/150)</f>
        <v>3.0666666666666669</v>
      </c>
      <c r="G89">
        <f>379*(1/150)</f>
        <v>2.5266666666666668</v>
      </c>
      <c r="H89">
        <f>413*(1/150)</f>
        <v>2.7533333333333334</v>
      </c>
      <c r="I89">
        <f>385*(1/150)</f>
        <v>2.5666666666666669</v>
      </c>
      <c r="J89">
        <f>400*(1/150)</f>
        <v>2.666666666666667</v>
      </c>
      <c r="K89" s="3">
        <v>15</v>
      </c>
      <c r="L89" s="3">
        <v>19.2</v>
      </c>
      <c r="M89" s="3">
        <v>39.5</v>
      </c>
      <c r="N89" s="3" t="s">
        <v>15</v>
      </c>
      <c r="O89" t="s">
        <v>22</v>
      </c>
      <c r="P89">
        <v>2</v>
      </c>
    </row>
    <row r="90" spans="1:16" x14ac:dyDescent="0.35">
      <c r="A90">
        <f>16*(1/150)</f>
        <v>0.10666666666666667</v>
      </c>
      <c r="B90">
        <f t="shared" ref="B90:J90" si="24">0*(1/150)</f>
        <v>0</v>
      </c>
      <c r="C90">
        <f t="shared" si="24"/>
        <v>0</v>
      </c>
      <c r="D90">
        <f t="shared" si="24"/>
        <v>0</v>
      </c>
      <c r="E90">
        <f t="shared" si="24"/>
        <v>0</v>
      </c>
      <c r="F90">
        <f t="shared" si="24"/>
        <v>0</v>
      </c>
      <c r="G90">
        <f t="shared" si="24"/>
        <v>0</v>
      </c>
      <c r="H90">
        <f t="shared" si="24"/>
        <v>0</v>
      </c>
      <c r="I90">
        <f t="shared" si="24"/>
        <v>0</v>
      </c>
      <c r="J90">
        <f t="shared" si="24"/>
        <v>0</v>
      </c>
      <c r="K90" s="3">
        <v>15</v>
      </c>
      <c r="L90" s="3">
        <v>19.2</v>
      </c>
      <c r="M90" s="3">
        <v>39.5</v>
      </c>
      <c r="N90" s="3" t="s">
        <v>15</v>
      </c>
      <c r="O90" t="s">
        <v>18</v>
      </c>
      <c r="P90">
        <v>3</v>
      </c>
    </row>
    <row r="91" spans="1:16" x14ac:dyDescent="0.35">
      <c r="A91">
        <f>608*(1/150)</f>
        <v>4.0533333333333337</v>
      </c>
      <c r="B91">
        <f>121*(1/150)</f>
        <v>0.80666666666666675</v>
      </c>
      <c r="C91">
        <f t="shared" ref="C91:J92" si="25">0*(1/150)</f>
        <v>0</v>
      </c>
      <c r="D91">
        <f t="shared" si="25"/>
        <v>0</v>
      </c>
      <c r="E91">
        <f t="shared" si="25"/>
        <v>0</v>
      </c>
      <c r="F91">
        <f t="shared" si="25"/>
        <v>0</v>
      </c>
      <c r="G91">
        <f t="shared" si="25"/>
        <v>0</v>
      </c>
      <c r="H91">
        <f t="shared" si="25"/>
        <v>0</v>
      </c>
      <c r="I91">
        <f t="shared" si="25"/>
        <v>0</v>
      </c>
      <c r="J91">
        <f t="shared" si="25"/>
        <v>0</v>
      </c>
      <c r="K91" s="3">
        <v>15</v>
      </c>
      <c r="L91" s="3">
        <v>19.2</v>
      </c>
      <c r="M91" s="3">
        <v>39.5</v>
      </c>
      <c r="N91" s="3" t="s">
        <v>15</v>
      </c>
      <c r="O91" t="s">
        <v>19</v>
      </c>
      <c r="P91">
        <v>4</v>
      </c>
    </row>
    <row r="92" spans="1:16" x14ac:dyDescent="0.35">
      <c r="A92">
        <f>0*(1/150)</f>
        <v>0</v>
      </c>
      <c r="B92">
        <f>0*(1/150)</f>
        <v>0</v>
      </c>
      <c r="C92">
        <f t="shared" si="25"/>
        <v>0</v>
      </c>
      <c r="D92">
        <f t="shared" si="25"/>
        <v>0</v>
      </c>
      <c r="E92">
        <f t="shared" si="25"/>
        <v>0</v>
      </c>
      <c r="F92">
        <f t="shared" si="25"/>
        <v>0</v>
      </c>
      <c r="G92">
        <f t="shared" si="25"/>
        <v>0</v>
      </c>
      <c r="H92">
        <f t="shared" si="25"/>
        <v>0</v>
      </c>
      <c r="I92">
        <f t="shared" si="25"/>
        <v>0</v>
      </c>
      <c r="J92">
        <f t="shared" si="25"/>
        <v>0</v>
      </c>
      <c r="K92" s="4">
        <v>15</v>
      </c>
      <c r="L92" s="4">
        <v>2</v>
      </c>
      <c r="M92" s="4">
        <v>16</v>
      </c>
      <c r="N92" s="4" t="s">
        <v>15</v>
      </c>
      <c r="O92" t="s">
        <v>16</v>
      </c>
      <c r="P92">
        <v>0</v>
      </c>
    </row>
    <row r="93" spans="1:16" x14ac:dyDescent="0.35">
      <c r="A93">
        <f>0*(1/150)</f>
        <v>0</v>
      </c>
      <c r="B93">
        <f>157*(1/150)</f>
        <v>1.0466666666666666</v>
      </c>
      <c r="C93">
        <f>878*(1/150)</f>
        <v>5.8533333333333335</v>
      </c>
      <c r="D93">
        <f>520*(1/150)</f>
        <v>3.4666666666666668</v>
      </c>
      <c r="E93">
        <f>365*(1/150)</f>
        <v>2.4333333333333336</v>
      </c>
      <c r="F93">
        <f>435*(1/150)</f>
        <v>2.9000000000000004</v>
      </c>
      <c r="G93">
        <f>447*(1/150)</f>
        <v>2.98</v>
      </c>
      <c r="H93">
        <f>583*(1/150)</f>
        <v>3.8866666666666667</v>
      </c>
      <c r="I93">
        <f>552*(1/150)</f>
        <v>3.68</v>
      </c>
      <c r="J93">
        <f>673*(1/150)</f>
        <v>4.4866666666666672</v>
      </c>
      <c r="K93" s="4">
        <v>15</v>
      </c>
      <c r="L93" s="4">
        <v>2</v>
      </c>
      <c r="M93" s="4">
        <v>16</v>
      </c>
      <c r="N93" s="4" t="s">
        <v>15</v>
      </c>
      <c r="O93" t="s">
        <v>17</v>
      </c>
      <c r="P93">
        <v>1</v>
      </c>
    </row>
    <row r="94" spans="1:16" x14ac:dyDescent="0.35">
      <c r="A94">
        <f>815*(1/150)</f>
        <v>5.4333333333333336</v>
      </c>
      <c r="B94">
        <f>1343*(1/150)</f>
        <v>8.9533333333333331</v>
      </c>
      <c r="C94">
        <f>772*(1/150)</f>
        <v>5.1466666666666674</v>
      </c>
      <c r="D94">
        <f>980*(1/150)</f>
        <v>6.5333333333333341</v>
      </c>
      <c r="E94">
        <f>1135*(1/150)</f>
        <v>7.5666666666666673</v>
      </c>
      <c r="F94">
        <f>1215*(1/150)</f>
        <v>8.1</v>
      </c>
      <c r="G94">
        <f>1053*(1/150)</f>
        <v>7.0200000000000005</v>
      </c>
      <c r="H94">
        <f>1067*(1/150)</f>
        <v>7.1133333333333342</v>
      </c>
      <c r="I94">
        <f>948*(1/150)</f>
        <v>6.32</v>
      </c>
      <c r="J94">
        <f>977*(1/150)</f>
        <v>6.5133333333333336</v>
      </c>
      <c r="K94" s="4">
        <v>15</v>
      </c>
      <c r="L94" s="4">
        <v>2</v>
      </c>
      <c r="M94" s="4">
        <v>16</v>
      </c>
      <c r="N94" s="4" t="s">
        <v>15</v>
      </c>
      <c r="O94" t="s">
        <v>22</v>
      </c>
      <c r="P94">
        <v>2</v>
      </c>
    </row>
    <row r="95" spans="1:16" x14ac:dyDescent="0.35">
      <c r="A95">
        <f t="shared" ref="A95:J95" si="26">0*(1/150)</f>
        <v>0</v>
      </c>
      <c r="B95">
        <f t="shared" si="26"/>
        <v>0</v>
      </c>
      <c r="C95">
        <f t="shared" si="26"/>
        <v>0</v>
      </c>
      <c r="D95">
        <f t="shared" si="26"/>
        <v>0</v>
      </c>
      <c r="E95">
        <f t="shared" si="26"/>
        <v>0</v>
      </c>
      <c r="F95">
        <f t="shared" si="26"/>
        <v>0</v>
      </c>
      <c r="G95">
        <f t="shared" si="26"/>
        <v>0</v>
      </c>
      <c r="H95">
        <f t="shared" si="26"/>
        <v>0</v>
      </c>
      <c r="I95">
        <f t="shared" si="26"/>
        <v>0</v>
      </c>
      <c r="J95">
        <f t="shared" si="26"/>
        <v>0</v>
      </c>
      <c r="K95" s="4">
        <v>15</v>
      </c>
      <c r="L95" s="4">
        <v>2</v>
      </c>
      <c r="M95" s="4">
        <v>16</v>
      </c>
      <c r="N95" s="4" t="s">
        <v>15</v>
      </c>
      <c r="O95" t="s">
        <v>18</v>
      </c>
      <c r="P95">
        <v>3</v>
      </c>
    </row>
    <row r="96" spans="1:16" x14ac:dyDescent="0.35">
      <c r="A96">
        <f>85*(1/150)</f>
        <v>0.56666666666666665</v>
      </c>
      <c r="B96">
        <f t="shared" ref="B96:J96" si="27">0*(1/150)</f>
        <v>0</v>
      </c>
      <c r="C96">
        <f t="shared" si="27"/>
        <v>0</v>
      </c>
      <c r="D96">
        <f t="shared" si="27"/>
        <v>0</v>
      </c>
      <c r="E96">
        <f t="shared" si="27"/>
        <v>0</v>
      </c>
      <c r="F96">
        <f t="shared" si="27"/>
        <v>0</v>
      </c>
      <c r="G96">
        <f t="shared" si="27"/>
        <v>0</v>
      </c>
      <c r="H96">
        <f t="shared" si="27"/>
        <v>0</v>
      </c>
      <c r="I96">
        <f t="shared" si="27"/>
        <v>0</v>
      </c>
      <c r="J96">
        <f t="shared" si="27"/>
        <v>0</v>
      </c>
      <c r="K96" s="4">
        <v>15</v>
      </c>
      <c r="L96" s="4">
        <v>2</v>
      </c>
      <c r="M96" s="4">
        <v>16</v>
      </c>
      <c r="N96" s="4" t="s">
        <v>15</v>
      </c>
      <c r="O96" t="s">
        <v>19</v>
      </c>
      <c r="P96">
        <v>4</v>
      </c>
    </row>
    <row r="97" spans="1:16" x14ac:dyDescent="0.35">
      <c r="A97">
        <f>0*(1/150)</f>
        <v>0</v>
      </c>
      <c r="B97">
        <f>0*(1/150)</f>
        <v>0</v>
      </c>
      <c r="C97">
        <f>0*(1/150)</f>
        <v>0</v>
      </c>
      <c r="D97">
        <f>96*(1/150)</f>
        <v>0.64</v>
      </c>
      <c r="E97">
        <f>198*(1/150)</f>
        <v>1.32</v>
      </c>
      <c r="F97">
        <f>275*(1/150)</f>
        <v>1.8333333333333335</v>
      </c>
      <c r="G97">
        <f>307*(1/150)</f>
        <v>2.0466666666666669</v>
      </c>
      <c r="H97">
        <f>366*(1/150)</f>
        <v>2.44</v>
      </c>
      <c r="I97">
        <f>366*(1/150)</f>
        <v>2.44</v>
      </c>
      <c r="J97">
        <f>434*(1/150)</f>
        <v>2.8933333333333335</v>
      </c>
      <c r="K97" s="5">
        <v>15</v>
      </c>
      <c r="L97" s="5">
        <v>2</v>
      </c>
      <c r="M97" s="5">
        <v>39.5</v>
      </c>
      <c r="N97" s="5" t="s">
        <v>15</v>
      </c>
      <c r="O97" t="s">
        <v>16</v>
      </c>
      <c r="P97">
        <v>0</v>
      </c>
    </row>
    <row r="98" spans="1:16" x14ac:dyDescent="0.35">
      <c r="A98">
        <f>0*(1/150)</f>
        <v>0</v>
      </c>
      <c r="B98">
        <f>259*(1/150)</f>
        <v>1.7266666666666668</v>
      </c>
      <c r="C98">
        <f>896*(1/150)</f>
        <v>5.9733333333333336</v>
      </c>
      <c r="D98">
        <f>760*(1/150)</f>
        <v>5.0666666666666673</v>
      </c>
      <c r="E98">
        <f>783*(1/150)</f>
        <v>5.2200000000000006</v>
      </c>
      <c r="F98">
        <f>758*(1/150)</f>
        <v>5.0533333333333337</v>
      </c>
      <c r="G98">
        <f>678*(1/150)</f>
        <v>4.5200000000000005</v>
      </c>
      <c r="H98">
        <f>761*(1/150)</f>
        <v>5.0733333333333333</v>
      </c>
      <c r="I98">
        <f>651*(1/150)</f>
        <v>4.34</v>
      </c>
      <c r="J98">
        <f>699*(1/150)</f>
        <v>4.66</v>
      </c>
      <c r="K98" s="5">
        <v>15</v>
      </c>
      <c r="L98" s="5">
        <v>2</v>
      </c>
      <c r="M98" s="5">
        <v>39.5</v>
      </c>
      <c r="N98" s="5" t="s">
        <v>15</v>
      </c>
      <c r="O98" t="s">
        <v>17</v>
      </c>
      <c r="P98">
        <v>1</v>
      </c>
    </row>
    <row r="99" spans="1:16" x14ac:dyDescent="0.35">
      <c r="A99">
        <f>754*(1/150)</f>
        <v>5.0266666666666673</v>
      </c>
      <c r="B99">
        <f>1241*(1/150)</f>
        <v>8.2733333333333334</v>
      </c>
      <c r="C99">
        <f>751*(1/150)</f>
        <v>5.0066666666666668</v>
      </c>
      <c r="D99">
        <f>647*(1/150)</f>
        <v>4.3133333333333335</v>
      </c>
      <c r="E99">
        <f>513*(1/150)</f>
        <v>3.4200000000000004</v>
      </c>
      <c r="F99">
        <f>617*(1/150)</f>
        <v>4.1133333333333333</v>
      </c>
      <c r="G99">
        <f>511*(1/150)</f>
        <v>3.4066666666666667</v>
      </c>
      <c r="H99">
        <f>518*(1/150)</f>
        <v>3.4533333333333336</v>
      </c>
      <c r="I99">
        <f>477*(1/150)</f>
        <v>3.18</v>
      </c>
      <c r="J99">
        <f>505*(1/150)</f>
        <v>3.3666666666666667</v>
      </c>
      <c r="K99" s="5">
        <v>15</v>
      </c>
      <c r="L99" s="5">
        <v>2</v>
      </c>
      <c r="M99" s="5">
        <v>39.5</v>
      </c>
      <c r="N99" s="5" t="s">
        <v>15</v>
      </c>
      <c r="O99" t="s">
        <v>22</v>
      </c>
      <c r="P99">
        <v>2</v>
      </c>
    </row>
    <row r="100" spans="1:16" x14ac:dyDescent="0.35">
      <c r="A100">
        <f>4*(1/150)</f>
        <v>2.6666666666666668E-2</v>
      </c>
      <c r="B100">
        <f t="shared" ref="B100:J101" si="28">0*(1/150)</f>
        <v>0</v>
      </c>
      <c r="C100">
        <f t="shared" si="28"/>
        <v>0</v>
      </c>
      <c r="D100">
        <f t="shared" si="28"/>
        <v>0</v>
      </c>
      <c r="E100">
        <f t="shared" si="28"/>
        <v>0</v>
      </c>
      <c r="F100">
        <f t="shared" si="28"/>
        <v>0</v>
      </c>
      <c r="G100">
        <f t="shared" si="28"/>
        <v>0</v>
      </c>
      <c r="H100">
        <f t="shared" si="28"/>
        <v>0</v>
      </c>
      <c r="I100">
        <f t="shared" si="28"/>
        <v>0</v>
      </c>
      <c r="J100">
        <f t="shared" si="28"/>
        <v>0</v>
      </c>
      <c r="K100" s="5">
        <v>15</v>
      </c>
      <c r="L100" s="5">
        <v>2</v>
      </c>
      <c r="M100" s="5">
        <v>39.5</v>
      </c>
      <c r="N100" s="5" t="s">
        <v>15</v>
      </c>
      <c r="O100" t="s">
        <v>18</v>
      </c>
      <c r="P100">
        <v>3</v>
      </c>
    </row>
    <row r="101" spans="1:16" x14ac:dyDescent="0.35">
      <c r="A101">
        <f>140*(1/150)</f>
        <v>0.93333333333333335</v>
      </c>
      <c r="B101">
        <f t="shared" si="28"/>
        <v>0</v>
      </c>
      <c r="C101">
        <f t="shared" si="28"/>
        <v>0</v>
      </c>
      <c r="D101">
        <f t="shared" si="28"/>
        <v>0</v>
      </c>
      <c r="E101">
        <f t="shared" si="28"/>
        <v>0</v>
      </c>
      <c r="F101">
        <f t="shared" si="28"/>
        <v>0</v>
      </c>
      <c r="G101">
        <f t="shared" si="28"/>
        <v>0</v>
      </c>
      <c r="H101">
        <f t="shared" si="28"/>
        <v>0</v>
      </c>
      <c r="I101">
        <f t="shared" si="28"/>
        <v>0</v>
      </c>
      <c r="J101">
        <f t="shared" si="28"/>
        <v>0</v>
      </c>
      <c r="K101" s="6">
        <v>15</v>
      </c>
      <c r="L101" s="6">
        <v>2</v>
      </c>
      <c r="M101" s="6">
        <v>39.5</v>
      </c>
      <c r="N101" s="6" t="s">
        <v>15</v>
      </c>
      <c r="O101" t="s">
        <v>19</v>
      </c>
      <c r="P101">
        <v>4</v>
      </c>
    </row>
    <row r="102" spans="1:16" x14ac:dyDescent="0.35">
      <c r="A102">
        <f>0*(1/150)</f>
        <v>0</v>
      </c>
      <c r="B102">
        <f>155*(1/150)</f>
        <v>1.0333333333333334</v>
      </c>
      <c r="C102">
        <f>246*(1/150)</f>
        <v>1.6400000000000001</v>
      </c>
      <c r="D102">
        <f>267*(1/150)</f>
        <v>1.78</v>
      </c>
      <c r="E102">
        <f>256*(1/150)</f>
        <v>1.7066666666666668</v>
      </c>
      <c r="F102">
        <f>277*(1/150)</f>
        <v>1.8466666666666667</v>
      </c>
      <c r="G102">
        <f>230*(1/150)</f>
        <v>1.5333333333333334</v>
      </c>
      <c r="H102">
        <f>289*(1/150)</f>
        <v>1.9266666666666667</v>
      </c>
      <c r="I102">
        <f>263*(1/150)</f>
        <v>1.7533333333333334</v>
      </c>
      <c r="J102">
        <f>270*(1/150)</f>
        <v>1.8</v>
      </c>
      <c r="K102" s="7">
        <v>15</v>
      </c>
      <c r="L102" s="7">
        <v>19.2</v>
      </c>
      <c r="M102" s="7">
        <v>16</v>
      </c>
      <c r="N102" s="7" t="s">
        <v>20</v>
      </c>
      <c r="O102" s="8" t="s">
        <v>16</v>
      </c>
      <c r="P102" s="8">
        <v>0</v>
      </c>
    </row>
    <row r="103" spans="1:16" x14ac:dyDescent="0.35">
      <c r="A103">
        <f>0*(1/150)</f>
        <v>0</v>
      </c>
      <c r="B103">
        <f>563*(1/150)</f>
        <v>3.7533333333333334</v>
      </c>
      <c r="C103">
        <f>847*(1/150)</f>
        <v>5.6466666666666674</v>
      </c>
      <c r="D103">
        <f>789*(1/150)</f>
        <v>5.2600000000000007</v>
      </c>
      <c r="E103">
        <f>778*(1/150)</f>
        <v>5.1866666666666674</v>
      </c>
      <c r="F103">
        <f>877*(1/150)</f>
        <v>5.8466666666666667</v>
      </c>
      <c r="G103">
        <f>800*(1/150)</f>
        <v>5.3333333333333339</v>
      </c>
      <c r="H103">
        <f>849*(1/150)</f>
        <v>5.66</v>
      </c>
      <c r="I103">
        <f>760*(1/150)</f>
        <v>5.0666666666666673</v>
      </c>
      <c r="J103">
        <f>844*(1/150)</f>
        <v>5.6266666666666669</v>
      </c>
      <c r="K103" s="7">
        <v>15</v>
      </c>
      <c r="L103" s="7">
        <v>19.2</v>
      </c>
      <c r="M103" s="7">
        <v>16</v>
      </c>
      <c r="N103" s="7" t="s">
        <v>20</v>
      </c>
      <c r="O103" s="8" t="s">
        <v>17</v>
      </c>
      <c r="P103" s="8">
        <v>1</v>
      </c>
    </row>
    <row r="104" spans="1:16" x14ac:dyDescent="0.35">
      <c r="A104">
        <f>388*(1/150)</f>
        <v>2.5866666666666669</v>
      </c>
      <c r="B104">
        <f>624*(1/150)</f>
        <v>4.16</v>
      </c>
      <c r="C104">
        <f>557*(1/150)</f>
        <v>3.7133333333333334</v>
      </c>
      <c r="D104">
        <f>444*(1/150)</f>
        <v>2.9600000000000004</v>
      </c>
      <c r="E104">
        <f>466*(1/150)</f>
        <v>3.1066666666666669</v>
      </c>
      <c r="F104">
        <f>496*(1/150)</f>
        <v>3.3066666666666671</v>
      </c>
      <c r="G104">
        <f>470*(1/150)</f>
        <v>3.1333333333333337</v>
      </c>
      <c r="H104">
        <f>512*(1/150)</f>
        <v>3.4133333333333336</v>
      </c>
      <c r="I104">
        <f>477*(1/150)</f>
        <v>3.18</v>
      </c>
      <c r="J104">
        <f>536*(1/150)</f>
        <v>3.5733333333333337</v>
      </c>
      <c r="K104" s="7">
        <v>15</v>
      </c>
      <c r="L104" s="7">
        <v>19.2</v>
      </c>
      <c r="M104" s="7">
        <v>16</v>
      </c>
      <c r="N104" s="7" t="s">
        <v>20</v>
      </c>
      <c r="O104" s="8" t="s">
        <v>22</v>
      </c>
      <c r="P104" s="8">
        <v>2</v>
      </c>
    </row>
    <row r="105" spans="1:16" x14ac:dyDescent="0.35">
      <c r="A105">
        <f>5*(1/150)</f>
        <v>3.3333333333333333E-2</v>
      </c>
      <c r="B105">
        <f t="shared" ref="B105:J106" si="29">0*(1/150)</f>
        <v>0</v>
      </c>
      <c r="C105">
        <f t="shared" si="29"/>
        <v>0</v>
      </c>
      <c r="D105">
        <f t="shared" si="29"/>
        <v>0</v>
      </c>
      <c r="E105">
        <f t="shared" si="29"/>
        <v>0</v>
      </c>
      <c r="F105">
        <f t="shared" si="29"/>
        <v>0</v>
      </c>
      <c r="G105">
        <f t="shared" si="29"/>
        <v>0</v>
      </c>
      <c r="H105">
        <f t="shared" si="29"/>
        <v>0</v>
      </c>
      <c r="I105">
        <f t="shared" si="29"/>
        <v>0</v>
      </c>
      <c r="J105">
        <f t="shared" si="29"/>
        <v>0</v>
      </c>
      <c r="K105" s="7">
        <v>15</v>
      </c>
      <c r="L105" s="7">
        <v>19.2</v>
      </c>
      <c r="M105" s="7">
        <v>16</v>
      </c>
      <c r="N105" s="7" t="s">
        <v>20</v>
      </c>
      <c r="O105" s="8" t="s">
        <v>18</v>
      </c>
      <c r="P105" s="8">
        <v>3</v>
      </c>
    </row>
    <row r="106" spans="1:16" x14ac:dyDescent="0.35">
      <c r="A106">
        <f>344*(1/150)</f>
        <v>2.2933333333333334</v>
      </c>
      <c r="B106">
        <f t="shared" si="29"/>
        <v>0</v>
      </c>
      <c r="C106">
        <f t="shared" si="29"/>
        <v>0</v>
      </c>
      <c r="D106">
        <f t="shared" si="29"/>
        <v>0</v>
      </c>
      <c r="E106">
        <f t="shared" si="29"/>
        <v>0</v>
      </c>
      <c r="F106">
        <f t="shared" si="29"/>
        <v>0</v>
      </c>
      <c r="G106">
        <f t="shared" si="29"/>
        <v>0</v>
      </c>
      <c r="H106">
        <f t="shared" si="29"/>
        <v>0</v>
      </c>
      <c r="I106">
        <f t="shared" si="29"/>
        <v>0</v>
      </c>
      <c r="J106">
        <f t="shared" si="29"/>
        <v>0</v>
      </c>
      <c r="K106" s="7">
        <v>15</v>
      </c>
      <c r="L106" s="7">
        <v>19.2</v>
      </c>
      <c r="M106" s="7">
        <v>16</v>
      </c>
      <c r="N106" s="7" t="s">
        <v>20</v>
      </c>
      <c r="O106" s="8" t="s">
        <v>19</v>
      </c>
      <c r="P106" s="8">
        <v>4</v>
      </c>
    </row>
    <row r="107" spans="1:16" x14ac:dyDescent="0.35">
      <c r="A107">
        <f>30*(1/150)</f>
        <v>0.2</v>
      </c>
      <c r="B107">
        <f>570*(1/150)</f>
        <v>3.8000000000000003</v>
      </c>
      <c r="C107">
        <f>794*(1/150)</f>
        <v>5.2933333333333339</v>
      </c>
      <c r="D107">
        <f>722*(1/150)</f>
        <v>4.8133333333333335</v>
      </c>
      <c r="E107">
        <f>738*(1/150)</f>
        <v>4.92</v>
      </c>
      <c r="F107">
        <f>828*(1/150)</f>
        <v>5.5200000000000005</v>
      </c>
      <c r="G107">
        <f>715*(1/150)</f>
        <v>4.7666666666666666</v>
      </c>
      <c r="H107">
        <f>789*(1/150)</f>
        <v>5.2600000000000007</v>
      </c>
      <c r="I107">
        <f>742*(1/150)</f>
        <v>4.9466666666666672</v>
      </c>
      <c r="J107">
        <f>797*(1/150)</f>
        <v>5.3133333333333335</v>
      </c>
      <c r="K107" s="2">
        <v>15</v>
      </c>
      <c r="L107" s="2">
        <v>19.2</v>
      </c>
      <c r="M107" s="2">
        <v>39.5</v>
      </c>
      <c r="N107" s="2" t="s">
        <v>20</v>
      </c>
      <c r="O107" t="s">
        <v>16</v>
      </c>
      <c r="P107">
        <v>0</v>
      </c>
    </row>
    <row r="108" spans="1:16" x14ac:dyDescent="0.35">
      <c r="A108">
        <f>10*(1/150)</f>
        <v>6.6666666666666666E-2</v>
      </c>
      <c r="B108">
        <f>424*(1/150)</f>
        <v>2.8266666666666667</v>
      </c>
      <c r="C108">
        <f>503*(1/150)</f>
        <v>3.3533333333333335</v>
      </c>
      <c r="D108">
        <f>439*(1/150)</f>
        <v>2.9266666666666667</v>
      </c>
      <c r="E108">
        <f>485*(1/150)</f>
        <v>3.2333333333333334</v>
      </c>
      <c r="F108">
        <f>487*(1/150)</f>
        <v>3.246666666666667</v>
      </c>
      <c r="G108">
        <f>461*(1/150)</f>
        <v>3.0733333333333337</v>
      </c>
      <c r="H108">
        <f>505*(1/150)</f>
        <v>3.3666666666666667</v>
      </c>
      <c r="I108">
        <f>452*(1/150)</f>
        <v>3.0133333333333336</v>
      </c>
      <c r="J108">
        <f>503*(1/150)</f>
        <v>3.3533333333333335</v>
      </c>
      <c r="K108" s="2">
        <v>15</v>
      </c>
      <c r="L108" s="2">
        <v>19.2</v>
      </c>
      <c r="M108" s="2">
        <v>39.5</v>
      </c>
      <c r="N108" s="2" t="s">
        <v>20</v>
      </c>
      <c r="O108" t="s">
        <v>17</v>
      </c>
      <c r="P108">
        <v>1</v>
      </c>
    </row>
    <row r="109" spans="1:16" x14ac:dyDescent="0.35">
      <c r="A109">
        <f>321*(1/150)</f>
        <v>2.14</v>
      </c>
      <c r="B109">
        <f>370*(1/150)</f>
        <v>2.4666666666666668</v>
      </c>
      <c r="C109">
        <f>344*(1/150)</f>
        <v>2.2933333333333334</v>
      </c>
      <c r="D109">
        <f>336*(1/150)</f>
        <v>2.2400000000000002</v>
      </c>
      <c r="E109">
        <f>273*(1/150)</f>
        <v>1.82</v>
      </c>
      <c r="F109">
        <f>333*(1/150)</f>
        <v>2.2200000000000002</v>
      </c>
      <c r="G109">
        <f>321*(1/150)</f>
        <v>2.14</v>
      </c>
      <c r="H109">
        <f>355*(1/150)</f>
        <v>2.3666666666666667</v>
      </c>
      <c r="I109">
        <f>298*(1/150)</f>
        <v>1.9866666666666668</v>
      </c>
      <c r="J109">
        <f>347*(1/150)</f>
        <v>2.3133333333333335</v>
      </c>
      <c r="K109" s="2">
        <v>15</v>
      </c>
      <c r="L109" s="2">
        <v>19.2</v>
      </c>
      <c r="M109" s="2">
        <v>39.5</v>
      </c>
      <c r="N109" s="2" t="s">
        <v>20</v>
      </c>
      <c r="O109" t="s">
        <v>22</v>
      </c>
      <c r="P109">
        <v>2</v>
      </c>
    </row>
    <row r="110" spans="1:16" x14ac:dyDescent="0.35">
      <c r="A110">
        <f>9*(1/150)</f>
        <v>6.0000000000000005E-2</v>
      </c>
      <c r="B110">
        <f t="shared" ref="B110:J110" si="30">0*(1/150)</f>
        <v>0</v>
      </c>
      <c r="C110">
        <f t="shared" si="30"/>
        <v>0</v>
      </c>
      <c r="D110">
        <f t="shared" si="30"/>
        <v>0</v>
      </c>
      <c r="E110">
        <f t="shared" si="30"/>
        <v>0</v>
      </c>
      <c r="F110">
        <f t="shared" si="30"/>
        <v>0</v>
      </c>
      <c r="G110">
        <f t="shared" si="30"/>
        <v>0</v>
      </c>
      <c r="H110">
        <f t="shared" si="30"/>
        <v>0</v>
      </c>
      <c r="I110">
        <f t="shared" si="30"/>
        <v>0</v>
      </c>
      <c r="J110">
        <f t="shared" si="30"/>
        <v>0</v>
      </c>
      <c r="K110" s="2">
        <v>15</v>
      </c>
      <c r="L110" s="2">
        <v>19.2</v>
      </c>
      <c r="M110" s="2">
        <v>39.5</v>
      </c>
      <c r="N110" s="2" t="s">
        <v>20</v>
      </c>
      <c r="O110" t="s">
        <v>18</v>
      </c>
      <c r="P110">
        <v>3</v>
      </c>
    </row>
    <row r="111" spans="1:16" x14ac:dyDescent="0.35">
      <c r="A111">
        <f>419*(1/150)</f>
        <v>2.7933333333333334</v>
      </c>
      <c r="B111">
        <f>59*(1/150)</f>
        <v>0.39333333333333337</v>
      </c>
      <c r="C111">
        <f t="shared" ref="C111:J111" si="31">0*(1/150)</f>
        <v>0</v>
      </c>
      <c r="D111">
        <f t="shared" si="31"/>
        <v>0</v>
      </c>
      <c r="E111">
        <f t="shared" si="31"/>
        <v>0</v>
      </c>
      <c r="F111">
        <f t="shared" si="31"/>
        <v>0</v>
      </c>
      <c r="G111">
        <f t="shared" si="31"/>
        <v>0</v>
      </c>
      <c r="H111">
        <f t="shared" si="31"/>
        <v>0</v>
      </c>
      <c r="I111">
        <f t="shared" si="31"/>
        <v>0</v>
      </c>
      <c r="J111">
        <f t="shared" si="31"/>
        <v>0</v>
      </c>
      <c r="K111" s="2">
        <v>15</v>
      </c>
      <c r="L111" s="2">
        <v>19.2</v>
      </c>
      <c r="M111" s="2">
        <v>39.5</v>
      </c>
      <c r="N111" s="2" t="s">
        <v>20</v>
      </c>
      <c r="O111" t="s">
        <v>19</v>
      </c>
      <c r="P111">
        <v>4</v>
      </c>
    </row>
    <row r="112" spans="1:16" x14ac:dyDescent="0.35">
      <c r="A112">
        <f t="shared" ref="A112:F112" si="32">0*(1/150)</f>
        <v>0</v>
      </c>
      <c r="B112">
        <f t="shared" si="32"/>
        <v>0</v>
      </c>
      <c r="C112">
        <f t="shared" si="32"/>
        <v>0</v>
      </c>
      <c r="D112">
        <f t="shared" si="32"/>
        <v>0</v>
      </c>
      <c r="E112">
        <f t="shared" si="32"/>
        <v>0</v>
      </c>
      <c r="F112">
        <f t="shared" si="32"/>
        <v>0</v>
      </c>
      <c r="G112">
        <f>24*(1/150)</f>
        <v>0.16</v>
      </c>
      <c r="H112">
        <f>77*(1/150)</f>
        <v>0.51333333333333342</v>
      </c>
      <c r="I112">
        <f>82*(1/150)</f>
        <v>0.54666666666666675</v>
      </c>
      <c r="J112">
        <f>111*(1/150)</f>
        <v>0.7400000000000001</v>
      </c>
      <c r="K112" s="9">
        <v>15</v>
      </c>
      <c r="L112" s="9">
        <v>2</v>
      </c>
      <c r="M112" s="9">
        <v>16</v>
      </c>
      <c r="N112" s="9" t="s">
        <v>20</v>
      </c>
      <c r="O112" t="s">
        <v>16</v>
      </c>
      <c r="P112">
        <v>0</v>
      </c>
    </row>
    <row r="113" spans="1:16" x14ac:dyDescent="0.35">
      <c r="A113">
        <f>0*(1/150)</f>
        <v>0</v>
      </c>
      <c r="B113">
        <f>0*(1/150)</f>
        <v>0</v>
      </c>
      <c r="C113">
        <f>90*(1/150)</f>
        <v>0.60000000000000009</v>
      </c>
      <c r="D113">
        <f>183*(1/150)</f>
        <v>1.22</v>
      </c>
      <c r="E113">
        <f>400*(1/150)</f>
        <v>2.666666666666667</v>
      </c>
      <c r="F113">
        <f>648*(1/150)</f>
        <v>4.32</v>
      </c>
      <c r="G113">
        <f>629*(1/150)</f>
        <v>4.1933333333333334</v>
      </c>
      <c r="H113">
        <f>739*(1/150)</f>
        <v>4.9266666666666667</v>
      </c>
      <c r="I113">
        <f>739*(1/150)</f>
        <v>4.9266666666666667</v>
      </c>
      <c r="J113">
        <f>784*(1/150)</f>
        <v>5.2266666666666666</v>
      </c>
      <c r="K113" s="9">
        <v>15</v>
      </c>
      <c r="L113" s="9">
        <v>2</v>
      </c>
      <c r="M113" s="9">
        <v>16</v>
      </c>
      <c r="N113" s="9" t="s">
        <v>20</v>
      </c>
      <c r="O113" t="s">
        <v>17</v>
      </c>
      <c r="P113">
        <v>1</v>
      </c>
    </row>
    <row r="114" spans="1:16" x14ac:dyDescent="0.35">
      <c r="A114">
        <f>793*(1/150)</f>
        <v>5.2866666666666671</v>
      </c>
      <c r="B114">
        <f>1500*(1/150)</f>
        <v>10</v>
      </c>
      <c r="C114">
        <f>1560*(1/150)</f>
        <v>10.4</v>
      </c>
      <c r="D114">
        <f>1317*(1/150)</f>
        <v>8.7800000000000011</v>
      </c>
      <c r="E114">
        <f>1100*(1/150)</f>
        <v>7.3333333333333339</v>
      </c>
      <c r="F114">
        <f>999*(1/150)</f>
        <v>6.66</v>
      </c>
      <c r="G114">
        <f>850*(1/150)</f>
        <v>5.666666666666667</v>
      </c>
      <c r="H114">
        <f>834*(1/150)</f>
        <v>5.5600000000000005</v>
      </c>
      <c r="I114">
        <f>679*(1/150)</f>
        <v>4.5266666666666673</v>
      </c>
      <c r="J114">
        <f>755*(1/150)</f>
        <v>5.0333333333333332</v>
      </c>
      <c r="K114" s="9">
        <v>15</v>
      </c>
      <c r="L114" s="9">
        <v>2</v>
      </c>
      <c r="M114" s="9">
        <v>16</v>
      </c>
      <c r="N114" s="9" t="s">
        <v>20</v>
      </c>
      <c r="O114" t="s">
        <v>22</v>
      </c>
      <c r="P114">
        <v>2</v>
      </c>
    </row>
    <row r="115" spans="1:16" x14ac:dyDescent="0.35">
      <c r="A115">
        <f t="shared" ref="A115:J115" si="33">0*(1/150)</f>
        <v>0</v>
      </c>
      <c r="B115">
        <f t="shared" si="33"/>
        <v>0</v>
      </c>
      <c r="C115">
        <f t="shared" si="33"/>
        <v>0</v>
      </c>
      <c r="D115">
        <f t="shared" si="33"/>
        <v>0</v>
      </c>
      <c r="E115">
        <f t="shared" si="33"/>
        <v>0</v>
      </c>
      <c r="F115">
        <f t="shared" si="33"/>
        <v>0</v>
      </c>
      <c r="G115">
        <f t="shared" si="33"/>
        <v>0</v>
      </c>
      <c r="H115">
        <f t="shared" si="33"/>
        <v>0</v>
      </c>
      <c r="I115">
        <f t="shared" si="33"/>
        <v>0</v>
      </c>
      <c r="J115">
        <f t="shared" si="33"/>
        <v>0</v>
      </c>
      <c r="K115" s="9">
        <v>15</v>
      </c>
      <c r="L115" s="9">
        <v>2</v>
      </c>
      <c r="M115" s="9">
        <v>16</v>
      </c>
      <c r="N115" s="9" t="s">
        <v>20</v>
      </c>
      <c r="O115" t="s">
        <v>18</v>
      </c>
      <c r="P115">
        <v>3</v>
      </c>
    </row>
    <row r="116" spans="1:16" x14ac:dyDescent="0.35">
      <c r="A116">
        <f>106*(1/150)</f>
        <v>0.70666666666666667</v>
      </c>
      <c r="B116">
        <f t="shared" ref="B116:J116" si="34">0*(1/150)</f>
        <v>0</v>
      </c>
      <c r="C116">
        <f t="shared" si="34"/>
        <v>0</v>
      </c>
      <c r="D116">
        <f t="shared" si="34"/>
        <v>0</v>
      </c>
      <c r="E116">
        <f t="shared" si="34"/>
        <v>0</v>
      </c>
      <c r="F116">
        <f t="shared" si="34"/>
        <v>0</v>
      </c>
      <c r="G116">
        <f t="shared" si="34"/>
        <v>0</v>
      </c>
      <c r="H116">
        <f t="shared" si="34"/>
        <v>0</v>
      </c>
      <c r="I116">
        <f t="shared" si="34"/>
        <v>0</v>
      </c>
      <c r="J116">
        <f t="shared" si="34"/>
        <v>0</v>
      </c>
      <c r="K116" s="9">
        <v>15</v>
      </c>
      <c r="L116" s="9">
        <v>2</v>
      </c>
      <c r="M116" s="9">
        <v>16</v>
      </c>
      <c r="N116" s="9" t="s">
        <v>20</v>
      </c>
      <c r="O116" t="s">
        <v>19</v>
      </c>
      <c r="P116">
        <v>4</v>
      </c>
    </row>
    <row r="117" spans="1:16" x14ac:dyDescent="0.35">
      <c r="A117">
        <f>0*(1/150)</f>
        <v>0</v>
      </c>
      <c r="B117">
        <f>0*(1/150)</f>
        <v>0</v>
      </c>
      <c r="C117">
        <f>27*(1/150)</f>
        <v>0.18000000000000002</v>
      </c>
      <c r="D117">
        <f>209*(1/150)</f>
        <v>1.3933333333333333</v>
      </c>
      <c r="E117">
        <f>303*(1/150)</f>
        <v>2.02</v>
      </c>
      <c r="F117">
        <f>429*(1/150)</f>
        <v>2.8600000000000003</v>
      </c>
      <c r="G117">
        <f>423*(1/150)</f>
        <v>2.8200000000000003</v>
      </c>
      <c r="H117">
        <f>526*(1/150)</f>
        <v>3.5066666666666668</v>
      </c>
      <c r="I117">
        <f>523*(1/150)</f>
        <v>3.4866666666666668</v>
      </c>
      <c r="J117">
        <f>580*(1/150)</f>
        <v>3.8666666666666667</v>
      </c>
      <c r="K117" s="7">
        <v>15</v>
      </c>
      <c r="L117" s="7">
        <v>2</v>
      </c>
      <c r="M117" s="7">
        <v>39.5</v>
      </c>
      <c r="N117" s="7" t="s">
        <v>20</v>
      </c>
      <c r="O117" t="s">
        <v>16</v>
      </c>
      <c r="P117">
        <v>0</v>
      </c>
    </row>
    <row r="118" spans="1:16" x14ac:dyDescent="0.35">
      <c r="A118">
        <f>0*(1/150)</f>
        <v>0</v>
      </c>
      <c r="B118">
        <f>59*(1/150)</f>
        <v>0.39333333333333337</v>
      </c>
      <c r="C118">
        <f>586*(1/150)</f>
        <v>3.9066666666666667</v>
      </c>
      <c r="D118">
        <f>649*(1/150)</f>
        <v>4.3266666666666671</v>
      </c>
      <c r="E118">
        <f>709*(1/150)</f>
        <v>4.7266666666666666</v>
      </c>
      <c r="F118">
        <f>706*(1/150)</f>
        <v>4.706666666666667</v>
      </c>
      <c r="G118">
        <f>631*(1/150)</f>
        <v>4.206666666666667</v>
      </c>
      <c r="H118">
        <f>636*(1/150)</f>
        <v>4.24</v>
      </c>
      <c r="I118">
        <f>574*(1/150)</f>
        <v>3.8266666666666671</v>
      </c>
      <c r="J118">
        <f>622*(1/150)</f>
        <v>4.1466666666666665</v>
      </c>
      <c r="K118" s="7">
        <v>15</v>
      </c>
      <c r="L118" s="7">
        <v>2</v>
      </c>
      <c r="M118" s="7">
        <v>39.5</v>
      </c>
      <c r="N118" s="7" t="s">
        <v>20</v>
      </c>
      <c r="O118" t="s">
        <v>17</v>
      </c>
      <c r="P118">
        <v>1</v>
      </c>
    </row>
    <row r="119" spans="1:16" x14ac:dyDescent="0.35">
      <c r="A119">
        <f>769*(1/150)</f>
        <v>5.1266666666666669</v>
      </c>
      <c r="B119">
        <f>1425*(1/150)</f>
        <v>9.5</v>
      </c>
      <c r="C119">
        <f>1037*(1/150)</f>
        <v>6.913333333333334</v>
      </c>
      <c r="D119">
        <f>642*(1/150)</f>
        <v>4.28</v>
      </c>
      <c r="E119">
        <f>488*(1/150)</f>
        <v>3.2533333333333334</v>
      </c>
      <c r="F119">
        <f>515*(1/150)</f>
        <v>3.4333333333333336</v>
      </c>
      <c r="G119">
        <f>446*(1/150)</f>
        <v>2.9733333333333336</v>
      </c>
      <c r="H119">
        <f>487*(1/150)</f>
        <v>3.246666666666667</v>
      </c>
      <c r="I119">
        <f>401*(1/150)</f>
        <v>2.6733333333333333</v>
      </c>
      <c r="J119">
        <f>441*(1/150)</f>
        <v>2.9400000000000004</v>
      </c>
      <c r="K119" s="7">
        <v>15</v>
      </c>
      <c r="L119" s="7">
        <v>2</v>
      </c>
      <c r="M119" s="7">
        <v>39.5</v>
      </c>
      <c r="N119" s="7" t="s">
        <v>20</v>
      </c>
      <c r="O119" t="s">
        <v>22</v>
      </c>
      <c r="P119">
        <v>2</v>
      </c>
    </row>
    <row r="120" spans="1:16" x14ac:dyDescent="0.35">
      <c r="A120">
        <f t="shared" ref="A120:J120" si="35">0*(1/150)</f>
        <v>0</v>
      </c>
      <c r="B120">
        <f t="shared" si="35"/>
        <v>0</v>
      </c>
      <c r="C120">
        <f t="shared" si="35"/>
        <v>0</v>
      </c>
      <c r="D120">
        <f t="shared" si="35"/>
        <v>0</v>
      </c>
      <c r="E120">
        <f t="shared" si="35"/>
        <v>0</v>
      </c>
      <c r="F120">
        <f t="shared" si="35"/>
        <v>0</v>
      </c>
      <c r="G120">
        <f t="shared" si="35"/>
        <v>0</v>
      </c>
      <c r="H120">
        <f t="shared" si="35"/>
        <v>0</v>
      </c>
      <c r="I120">
        <f t="shared" si="35"/>
        <v>0</v>
      </c>
      <c r="J120">
        <f t="shared" si="35"/>
        <v>0</v>
      </c>
      <c r="K120" s="7">
        <v>15</v>
      </c>
      <c r="L120" s="7">
        <v>2</v>
      </c>
      <c r="M120" s="7">
        <v>39.5</v>
      </c>
      <c r="N120" s="7" t="s">
        <v>20</v>
      </c>
      <c r="O120" t="s">
        <v>18</v>
      </c>
      <c r="P120">
        <v>3</v>
      </c>
    </row>
    <row r="121" spans="1:16" x14ac:dyDescent="0.35">
      <c r="A121">
        <f>129*(1/150)</f>
        <v>0.8600000000000001</v>
      </c>
      <c r="B121">
        <f t="shared" ref="B121:J121" si="36">0*(1/150)</f>
        <v>0</v>
      </c>
      <c r="C121">
        <f t="shared" si="36"/>
        <v>0</v>
      </c>
      <c r="D121">
        <f t="shared" si="36"/>
        <v>0</v>
      </c>
      <c r="E121">
        <f t="shared" si="36"/>
        <v>0</v>
      </c>
      <c r="F121">
        <f t="shared" si="36"/>
        <v>0</v>
      </c>
      <c r="G121">
        <f t="shared" si="36"/>
        <v>0</v>
      </c>
      <c r="H121">
        <f t="shared" si="36"/>
        <v>0</v>
      </c>
      <c r="I121">
        <f t="shared" si="36"/>
        <v>0</v>
      </c>
      <c r="J121">
        <f t="shared" si="36"/>
        <v>0</v>
      </c>
      <c r="K121" s="7">
        <v>15</v>
      </c>
      <c r="L121" s="7">
        <v>2</v>
      </c>
      <c r="M121" s="7">
        <v>39.5</v>
      </c>
      <c r="N121" s="7" t="s">
        <v>20</v>
      </c>
      <c r="O121" t="s">
        <v>19</v>
      </c>
      <c r="P121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Analysis_set5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</dc:creator>
  <cp:lastModifiedBy>F.Ebrahimi</cp:lastModifiedBy>
  <dcterms:created xsi:type="dcterms:W3CDTF">2023-05-01T17:48:55Z</dcterms:created>
  <dcterms:modified xsi:type="dcterms:W3CDTF">2025-09-26T21:20:12Z</dcterms:modified>
</cp:coreProperties>
</file>